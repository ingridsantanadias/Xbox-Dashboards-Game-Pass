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BootCamp-PowerBI\BootCamp - Power BI\Criando um Processo de ETL com Excel e Power Query\"/>
    </mc:Choice>
  </mc:AlternateContent>
  <xr:revisionPtr revIDLastSave="0" documentId="8_{E0DD81DC-32FB-4F1F-805C-A6611F691668}" xr6:coauthVersionLast="47" xr6:coauthVersionMax="47" xr10:uidLastSave="{00000000-0000-0000-0000-000000000000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3" l="1"/>
  <c r="E23" i="3"/>
</calcChain>
</file>

<file path=xl/sharedStrings.xml><?xml version="1.0" encoding="utf-8"?>
<sst xmlns="http://schemas.openxmlformats.org/spreadsheetml/2006/main" count="2024" uniqueCount="324">
  <si>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</si>
  <si>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</si>
  <si>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</si>
  <si>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</si>
  <si>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</si>
  <si>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</si>
  <si>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</si>
  <si>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</si>
  <si>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</si>
  <si>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</si>
  <si>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</si>
  <si>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</si>
  <si>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</si>
  <si>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</si>
  <si>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</si>
  <si>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</si>
  <si>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</si>
  <si>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</si>
  <si>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</si>
  <si>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</si>
  <si>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</si>
  <si>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</si>
  <si>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</si>
  <si>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</si>
  <si>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</si>
  <si>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</si>
  <si>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</si>
  <si>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</si>
  <si>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</si>
  <si>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</si>
  <si>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</si>
  <si>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</si>
  <si>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</si>
  <si>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</si>
  <si>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</si>
  <si>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</si>
  <si>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</si>
  <si>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</si>
  <si>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</si>
  <si>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</si>
  <si>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</si>
  <si>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</si>
  <si>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</si>
  <si>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</si>
  <si>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</si>
  <si>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</si>
  <si>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</si>
  <si>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</si>
  <si>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</si>
  <si>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</si>
  <si>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</si>
  <si>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</si>
  <si>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</si>
  <si>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</si>
  <si>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</si>
  <si>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</si>
  <si>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</si>
  <si>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</si>
  <si>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</si>
  <si>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</si>
  <si>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</si>
  <si>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</si>
  <si>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</si>
  <si>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</si>
  <si>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</si>
  <si>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</si>
  <si>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</si>
  <si>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</si>
  <si>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</si>
  <si>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</si>
  <si>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</si>
  <si>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</si>
  <si>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</si>
  <si>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</si>
  <si>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</si>
  <si>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</si>
  <si>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</si>
  <si>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</si>
  <si>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</si>
  <si>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</si>
  <si>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</si>
  <si>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</si>
  <si>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</si>
  <si>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</si>
  <si>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</si>
  <si>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</si>
  <si>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</si>
  <si>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</si>
  <si>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</si>
  <si>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</si>
  <si>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</si>
  <si>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</si>
  <si>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</si>
  <si>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</si>
  <si>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</si>
  <si>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</si>
  <si>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</si>
  <si>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</si>
  <si>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</si>
  <si>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</si>
  <si>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</si>
  <si>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</si>
  <si>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</si>
  <si>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</si>
  <si>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</si>
  <si>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</si>
  <si>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</si>
  <si>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</si>
  <si>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</si>
  <si>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</si>
  <si>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</si>
  <si>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</si>
  <si>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</si>
  <si>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</si>
  <si>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</si>
  <si>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</si>
  <si>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</si>
  <si>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</si>
  <si>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</si>
  <si>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</si>
  <si>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</si>
  <si>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</si>
  <si>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</si>
  <si>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</si>
  <si>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</si>
  <si>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</si>
  <si>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</si>
  <si>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</si>
  <si>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</si>
  <si>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</si>
  <si>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</si>
  <si>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</si>
  <si>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</si>
  <si>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</si>
  <si>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</si>
  <si>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</si>
  <si>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</si>
  <si>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</si>
  <si>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</si>
  <si>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</si>
  <si>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</si>
  <si>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</si>
  <si>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</si>
  <si>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</si>
  <si>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</si>
  <si>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</si>
  <si>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</si>
  <si>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</si>
  <si>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</si>
  <si>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</si>
  <si>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</si>
  <si>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</si>
  <si>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</si>
  <si>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</si>
  <si>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</si>
  <si>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</si>
  <si>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</si>
  <si>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</si>
  <si>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</si>
  <si>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</si>
  <si>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</si>
  <si>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</si>
  <si>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</si>
  <si>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</si>
  <si>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</si>
  <si>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</si>
  <si>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</si>
  <si>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</si>
  <si>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</si>
  <si>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</si>
  <si>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</si>
  <si>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</si>
  <si>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</si>
  <si>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</si>
  <si>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</si>
  <si>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</si>
  <si>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</si>
  <si>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</si>
  <si>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</si>
  <si>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</si>
  <si>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</si>
  <si>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</si>
  <si>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</si>
  <si>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</si>
  <si>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</si>
  <si>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</si>
  <si>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</si>
  <si>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</si>
  <si>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</si>
  <si>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</si>
  <si>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</si>
  <si>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</si>
  <si>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</si>
  <si>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</si>
  <si>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</si>
  <si>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</si>
  <si>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</si>
  <si>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</si>
  <si>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</si>
  <si>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</si>
  <si>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</si>
  <si>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</si>
  <si>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</si>
  <si>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</si>
  <si>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</si>
  <si>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</si>
  <si>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</si>
  <si>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</si>
  <si>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</si>
  <si>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</si>
  <si>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</si>
  <si>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</si>
  <si>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</si>
  <si>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</si>
  <si>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</si>
  <si>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</si>
  <si>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</si>
  <si>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</si>
  <si>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</si>
  <si>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</si>
  <si>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</si>
  <si>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</si>
  <si>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</si>
  <si>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</si>
  <si>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</si>
  <si>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</si>
  <si>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</si>
  <si>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</si>
  <si>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</si>
  <si>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</si>
  <si>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</si>
  <si>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</si>
  <si>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</si>
  <si>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</si>
  <si>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</si>
  <si>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</si>
  <si>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</si>
  <si>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</si>
  <si>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</si>
  <si>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</si>
  <si>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</si>
  <si>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</si>
  <si>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</si>
  <si>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</si>
  <si>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</si>
  <si>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</si>
  <si>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</si>
  <si>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</si>
  <si>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</si>
  <si>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</si>
  <si>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</si>
  <si>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</si>
  <si>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</si>
  <si>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</si>
  <si>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</si>
  <si>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</si>
  <si>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</si>
  <si>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</si>
  <si>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</si>
  <si>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</si>
  <si>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</si>
  <si>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</si>
  <si>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</si>
  <si>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</si>
  <si>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</si>
  <si>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</si>
  <si>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</si>
  <si>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</si>
  <si>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</si>
  <si>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</si>
  <si>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</si>
  <si>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</si>
  <si>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</si>
  <si>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</si>
  <si>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</si>
  <si>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</si>
  <si>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</si>
  <si>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</si>
  <si>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</si>
  <si>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</si>
  <si>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</si>
  <si>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</si>
  <si>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</si>
  <si>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</si>
  <si>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</si>
  <si>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</si>
  <si>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</si>
  <si>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</si>
  <si>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</si>
  <si>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</si>
  <si>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</si>
  <si>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</si>
  <si>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</si>
  <si>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</si>
  <si>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</si>
  <si>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</si>
  <si>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</si>
  <si>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</si>
  <si>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</si>
  <si>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</si>
  <si>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</si>
  <si>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</si>
  <si>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</si>
  <si>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</si>
  <si>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</si>
  <si>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</si>
  <si>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</si>
  <si>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</si>
  <si>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</si>
  <si>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</si>
  <si>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</si>
  <si>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</si>
  <si>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</si>
  <si>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</si>
  <si>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</si>
  <si>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Minecraft Season Pass Price</t>
  </si>
  <si>
    <t>Soma de Total Value</t>
  </si>
  <si>
    <t>PN1-Qual faturamento Total de vendas de planos anuais(contendo todas as assinaturas agregadas)</t>
  </si>
  <si>
    <t>PN2-Qual faturamento Total de vendas de planos anuais,separado por autorenovação não é por autorenovação</t>
  </si>
  <si>
    <t>XBOX GAME PASS SUBSCRIPTIONS SALES</t>
  </si>
  <si>
    <t>PN3- Total de vendas e Assinaturas do EA Play</t>
  </si>
  <si>
    <t>Soma de EA Play Season Pass</t>
  </si>
  <si>
    <t xml:space="preserve">     </t>
  </si>
  <si>
    <t>PN4- Total de Vendas de Assinaturas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</si>
</sst>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6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  <font>
      <sz val="11"/>
      <color rgb="FF22C55E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0" fontId="5" fillId="4" borderId="0" xfId="0" applyFont="1" applyFill="1"/>
    <xf numFmtId="0" fontId="4" fillId="0" borderId="2" xfId="1" applyFont="1" applyBorder="1"/>
    <xf numFmtId="0" fontId="0" fillId="0" borderId="2" xfId="0" applyBorder="1"/>
    <xf numFmtId="166" fontId="0" fillId="0" borderId="0" xfId="2" applyNumberFormat="1" applyFont="1"/>
    <xf numFmtId="166" fontId="0" fillId="0" borderId="0" xfId="3" applyNumberFormat="1" applyFont="1"/>
    <xf numFmtId="166" fontId="0" fillId="0" borderId="0" xfId="0" applyNumberFormat="1"/>
    <xf numFmtId="0" fontId="6" fillId="0" borderId="2" xfId="1" applyFont="1" applyBorder="1" applyAlignment="1">
      <alignment horizontal="left" indent="7"/>
    </xf>
  </cellXfs>
  <cellStyles count="4">
    <cellStyle name="Moeda" xfId="2" builtinId="4"/>
    <cellStyle name="Normal" xfId="0" builtinId="0"/>
    <cellStyle name="Título 1" xfId="1" builtinId="16"/>
    <cellStyle name="Vírgula" xfId="3" builtinId="3"/>
  </cellStyles>
  <dxfs count="20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00B050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3" defaultTableStyle="TableStyleMedium2" defaultPivotStyle="PivotStyleLight16">
    <tableStyle name="SlicerStyleLight6 2" pivot="0" table="0" count="10" xr9:uid="{4B6FD9A5-D5D2-43D9-B754-677596A149E6}">
      <tableStyleElement type="wholeTable" dxfId="5"/>
      <tableStyleElement type="headerRow" dxfId="4"/>
    </tableStyle>
    <tableStyle name="SlicerStyleLight6 2 2" pivot="0" table="0" count="10" xr9:uid="{4AD33B5F-FC64-4BDA-B8DB-295FF5D0D037}">
      <tableStyleElement type="wholeTable" dxfId="3"/>
      <tableStyleElement type="headerRow" dxfId="2"/>
    </tableStyle>
    <tableStyle name="SlicerStyleLight6 2 3" pivot="0" table="0" count="10" xr9:uid="{F91C5FF8-17BA-4001-82BA-5EF15C0C3CB5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9BC848"/>
      <color rgb="FFE8E6E9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6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[xbox-dashboards.xlsx]C̳álculos!Tbl_annual_total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B05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BF6A8"/>
          </a:solidFill>
          <a:ln>
            <a:noFill/>
          </a:ln>
          <a:effectLst/>
        </c:spPr>
      </c:pivotFmt>
      <c:pivotFmt>
        <c:idx val="11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2482525987155959E-2"/>
          <c:y val="6.4286269395368023E-2"/>
          <c:w val="0.65446891877455293"/>
          <c:h val="0.7068617522078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31-43DC-AC13-A5E330000EE5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31-43DC-AC13-A5E330000E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00B05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31-43DC-AC13-A5E330000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4603647"/>
        <c:axId val="143993199"/>
      </c:barChart>
      <c:catAx>
        <c:axId val="644603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993199"/>
        <c:crosses val="autoZero"/>
        <c:auto val="1"/>
        <c:lblAlgn val="ctr"/>
        <c:lblOffset val="100"/>
        <c:noMultiLvlLbl val="0"/>
      </c:catAx>
      <c:valAx>
        <c:axId val="14399319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4460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23812</xdr:colOff>
      <xdr:row>0</xdr:row>
      <xdr:rowOff>287706</xdr:rowOff>
    </xdr:from>
    <xdr:to>
      <xdr:col>2</xdr:col>
      <xdr:colOff>559593</xdr:colOff>
      <xdr:row>1</xdr:row>
      <xdr:rowOff>428625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775F40-F0D8-49DA-8ADA-C0AC184C84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5909" b="4392"/>
        <a:stretch>
          <a:fillRect/>
        </a:stretch>
      </xdr:blipFill>
      <xdr:spPr>
        <a:xfrm>
          <a:off x="2405062" y="287706"/>
          <a:ext cx="535781" cy="462388"/>
        </a:xfrm>
        <a:prstGeom prst="rect">
          <a:avLst/>
        </a:prstGeom>
      </xdr:spPr>
    </xdr:pic>
    <xdr:clientData/>
  </xdr:twoCellAnchor>
  <xdr:twoCellAnchor editAs="oneCell">
    <xdr:from>
      <xdr:col>0</xdr:col>
      <xdr:colOff>107157</xdr:colOff>
      <xdr:row>4</xdr:row>
      <xdr:rowOff>142874</xdr:rowOff>
    </xdr:from>
    <xdr:to>
      <xdr:col>0</xdr:col>
      <xdr:colOff>1666876</xdr:colOff>
      <xdr:row>12</xdr:row>
      <xdr:rowOff>190498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 1">
              <a:extLst>
                <a:ext uri="{FF2B5EF4-FFF2-40B4-BE49-F238E27FC236}">
                  <a16:creationId xmlns:a16="http://schemas.microsoft.com/office/drawing/2014/main" id="{6407B8B1-7B75-4645-BA46-DDEE797205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157" y="1666874"/>
              <a:ext cx="1559719" cy="1809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309563</xdr:colOff>
      <xdr:row>3</xdr:row>
      <xdr:rowOff>166689</xdr:rowOff>
    </xdr:from>
    <xdr:to>
      <xdr:col>8</xdr:col>
      <xdr:colOff>535780</xdr:colOff>
      <xdr:row>11</xdr:row>
      <xdr:rowOff>23813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66ACA59A-F576-B16A-DCF6-F68778314A56}"/>
            </a:ext>
          </a:extLst>
        </xdr:cNvPr>
        <xdr:cNvGrpSpPr/>
      </xdr:nvGrpSpPr>
      <xdr:grpSpPr>
        <a:xfrm>
          <a:off x="2166938" y="1369220"/>
          <a:ext cx="4393405" cy="1750218"/>
          <a:chOff x="2047876" y="1476375"/>
          <a:chExt cx="4393405" cy="1750218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4805D0BE-372D-CD6F-5B90-7E0DF38FD9D2}"/>
              </a:ext>
            </a:extLst>
          </xdr:cNvPr>
          <xdr:cNvGrpSpPr/>
        </xdr:nvGrpSpPr>
        <xdr:grpSpPr>
          <a:xfrm>
            <a:off x="2047876" y="1512093"/>
            <a:ext cx="4393405" cy="1714500"/>
            <a:chOff x="2047876" y="1476374"/>
            <a:chExt cx="4393405" cy="1714500"/>
          </a:xfrm>
        </xdr:grpSpPr>
        <xdr:sp macro="" textlink="" fLocksText="0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C5BE0AD9-8D40-3938-0A28-734D2AC38752}"/>
                </a:ext>
              </a:extLst>
            </xdr:cNvPr>
            <xdr:cNvSpPr/>
          </xdr:nvSpPr>
          <xdr:spPr>
            <a:xfrm>
              <a:off x="2047876" y="1476374"/>
              <a:ext cx="4393405" cy="1714500"/>
            </a:xfrm>
            <a:prstGeom prst="roundRect">
              <a:avLst>
                <a:gd name="adj" fmla="val 13195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23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8E0B86A2-EDED-4921-BFAD-72EB1AB8A02F}"/>
                </a:ext>
              </a:extLst>
            </xdr:cNvPr>
            <xdr:cNvSpPr/>
          </xdr:nvSpPr>
          <xdr:spPr>
            <a:xfrm>
              <a:off x="3393282" y="1978820"/>
              <a:ext cx="3036093" cy="928687"/>
            </a:xfrm>
            <a:prstGeom prst="roundRect">
              <a:avLst>
                <a:gd name="adj" fmla="val 6453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B5C1E0D-175F-4BB5-B535-3E68160BDE32}" type="TxLink">
                <a:rPr lang="en-US" sz="4800" b="0" i="0" u="none" strike="noStrike">
                  <a:solidFill>
                    <a:srgbClr val="2AE6B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R$ 600,00</a:t>
              </a:fld>
              <a:endParaRPr lang="pt-BR" sz="4800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22AB0D2B-F598-4FEC-B78D-07A6B2896C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214564" y="1881188"/>
              <a:ext cx="1123950" cy="1123950"/>
            </a:xfrm>
            <a:prstGeom prst="rect">
              <a:avLst/>
            </a:prstGeom>
          </xdr:spPr>
        </xdr:pic>
      </xdr:grpSp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42B07485-3293-DF55-75E5-B753EBB8AFA9}"/>
              </a:ext>
            </a:extLst>
          </xdr:cNvPr>
          <xdr:cNvSpPr/>
        </xdr:nvSpPr>
        <xdr:spPr>
          <a:xfrm>
            <a:off x="2059781" y="1476375"/>
            <a:ext cx="4381500" cy="4762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aseline="0"/>
              <a:t> </a:t>
            </a:r>
            <a:r>
              <a:rPr lang="pt-BR" sz="1100" b="1" baseline="0"/>
              <a:t>SUBSCRIPTION EA PLAY SEASON PASS</a:t>
            </a:r>
            <a:endParaRPr lang="pt-BR" sz="1100" b="1"/>
          </a:p>
        </xdr:txBody>
      </xdr:sp>
    </xdr:grpSp>
    <xdr:clientData/>
  </xdr:twoCellAnchor>
  <xdr:twoCellAnchor>
    <xdr:from>
      <xdr:col>10</xdr:col>
      <xdr:colOff>35718</xdr:colOff>
      <xdr:row>3</xdr:row>
      <xdr:rowOff>154780</xdr:rowOff>
    </xdr:from>
    <xdr:to>
      <xdr:col>18</xdr:col>
      <xdr:colOff>357187</xdr:colOff>
      <xdr:row>11</xdr:row>
      <xdr:rowOff>11904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A5B14923-22C1-6889-9296-9D873440B804}"/>
            </a:ext>
          </a:extLst>
        </xdr:cNvPr>
        <xdr:cNvGrpSpPr/>
      </xdr:nvGrpSpPr>
      <xdr:grpSpPr>
        <a:xfrm>
          <a:off x="7274718" y="1357311"/>
          <a:ext cx="5012532" cy="1750218"/>
          <a:chOff x="7620000" y="1404937"/>
          <a:chExt cx="4393405" cy="1750218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9BAD7F5D-3440-449B-BE2D-5B506C1FB9DF}"/>
              </a:ext>
            </a:extLst>
          </xdr:cNvPr>
          <xdr:cNvGrpSpPr/>
        </xdr:nvGrpSpPr>
        <xdr:grpSpPr>
          <a:xfrm>
            <a:off x="7620000" y="1404937"/>
            <a:ext cx="4393405" cy="1750218"/>
            <a:chOff x="2047876" y="1476375"/>
            <a:chExt cx="4393405" cy="1750218"/>
          </a:xfrm>
        </xdr:grpSpPr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6EEB5253-2E51-4751-7E0A-430B9BD1DC3C}"/>
                </a:ext>
              </a:extLst>
            </xdr:cNvPr>
            <xdr:cNvGrpSpPr/>
          </xdr:nvGrpSpPr>
          <xdr:grpSpPr>
            <a:xfrm>
              <a:off x="2047876" y="1512093"/>
              <a:ext cx="4393405" cy="1714500"/>
              <a:chOff x="2047876" y="1476374"/>
              <a:chExt cx="4393405" cy="1714500"/>
            </a:xfrm>
          </xdr:grpSpPr>
          <xdr:sp macro="" textlink="" fLocksText="0">
            <xdr:nvSpPr>
              <xdr:cNvPr id="21" name="Retângulo: Cantos Arredondados 20">
                <a:extLst>
                  <a:ext uri="{FF2B5EF4-FFF2-40B4-BE49-F238E27FC236}">
                    <a16:creationId xmlns:a16="http://schemas.microsoft.com/office/drawing/2014/main" id="{563F1703-8107-1FD5-8156-18FCB56DA13B}"/>
                  </a:ext>
                </a:extLst>
              </xdr:cNvPr>
              <xdr:cNvSpPr/>
            </xdr:nvSpPr>
            <xdr:spPr>
              <a:xfrm>
                <a:off x="2047876" y="1476374"/>
                <a:ext cx="4393405" cy="1714500"/>
              </a:xfrm>
              <a:prstGeom prst="roundRect">
                <a:avLst>
                  <a:gd name="adj" fmla="val 13195"/>
                </a:avLst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E37">
            <xdr:nvSpPr>
              <xdr:cNvPr id="22" name="Retângulo: Cantos Arredondados 21">
                <a:extLst>
                  <a:ext uri="{FF2B5EF4-FFF2-40B4-BE49-F238E27FC236}">
                    <a16:creationId xmlns:a16="http://schemas.microsoft.com/office/drawing/2014/main" id="{2FAF8FF7-A016-024B-6B68-370BFA4859F6}"/>
                  </a:ext>
                </a:extLst>
              </xdr:cNvPr>
              <xdr:cNvSpPr/>
            </xdr:nvSpPr>
            <xdr:spPr>
              <a:xfrm>
                <a:off x="3393282" y="1978820"/>
                <a:ext cx="3036093" cy="928687"/>
              </a:xfrm>
              <a:prstGeom prst="roundRect">
                <a:avLst>
                  <a:gd name="adj" fmla="val 6453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9729E42E-38E9-4462-B0FE-5B2DCDD52360}" type="TxLink">
                  <a:rPr lang="en-US" sz="4800" b="0" i="0" u="none" strike="noStrike">
                    <a:solidFill>
                      <a:srgbClr val="2AE6B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R$ 940,00</a:t>
                </a:fld>
                <a:endParaRPr lang="pt-BR" sz="4800">
                  <a:solidFill>
                    <a:srgbClr val="2AE6B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1D3A4055-F2BD-A98E-06F4-02DBFB381BB6}"/>
                </a:ext>
              </a:extLst>
            </xdr:cNvPr>
            <xdr:cNvSpPr/>
          </xdr:nvSpPr>
          <xdr:spPr>
            <a:xfrm>
              <a:off x="2059781" y="1476375"/>
              <a:ext cx="4381500" cy="4762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/>
                <a:t>TOTAL</a:t>
              </a:r>
              <a:r>
                <a:rPr lang="pt-BR" sz="1100" baseline="0"/>
                <a:t> </a:t>
              </a:r>
              <a:r>
                <a:rPr lang="pt-BR" sz="1100" b="1" baseline="0"/>
                <a:t>SUBSCRIPTION  MINECRAFT SEASON PASS</a:t>
              </a:r>
              <a:endParaRPr lang="pt-BR" sz="1100" b="1"/>
            </a:p>
          </xdr:txBody>
        </xdr:sp>
      </xdr:grpSp>
      <xdr:pic>
        <xdr:nvPicPr>
          <xdr:cNvPr id="24" name="Imagem 23">
            <a:extLst>
              <a:ext uri="{FF2B5EF4-FFF2-40B4-BE49-F238E27FC236}">
                <a16:creationId xmlns:a16="http://schemas.microsoft.com/office/drawing/2014/main" id="{5F507972-573E-4363-9BFE-FF32526AFA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96250" y="2035968"/>
            <a:ext cx="555497" cy="609599"/>
          </a:xfrm>
          <a:prstGeom prst="rect">
            <a:avLst/>
          </a:prstGeom>
        </xdr:spPr>
      </xdr:pic>
      <xdr:pic>
        <xdr:nvPicPr>
          <xdr:cNvPr id="25" name="Gráfico 24">
            <a:extLst>
              <a:ext uri="{FF2B5EF4-FFF2-40B4-BE49-F238E27FC236}">
                <a16:creationId xmlns:a16="http://schemas.microsoft.com/office/drawing/2014/main" id="{0A9B67F5-DBCD-4737-A3F9-F8D7A8110D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7762875" y="2542091"/>
            <a:ext cx="1297781" cy="21543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285750</xdr:colOff>
      <xdr:row>15</xdr:row>
      <xdr:rowOff>71438</xdr:rowOff>
    </xdr:from>
    <xdr:to>
      <xdr:col>19</xdr:col>
      <xdr:colOff>83343</xdr:colOff>
      <xdr:row>33</xdr:row>
      <xdr:rowOff>160835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FAA3EADE-A0EA-10C2-7A97-AFFF6C1F039A}"/>
            </a:ext>
          </a:extLst>
        </xdr:cNvPr>
        <xdr:cNvGrpSpPr/>
      </xdr:nvGrpSpPr>
      <xdr:grpSpPr>
        <a:xfrm>
          <a:off x="2143125" y="3929063"/>
          <a:ext cx="10477499" cy="3518397"/>
          <a:chOff x="2476500" y="4167188"/>
          <a:chExt cx="10477499" cy="3518397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BF9C7F3C-ADCE-BD5A-66E9-5F2084270625}"/>
              </a:ext>
            </a:extLst>
          </xdr:cNvPr>
          <xdr:cNvGrpSpPr/>
        </xdr:nvGrpSpPr>
        <xdr:grpSpPr>
          <a:xfrm>
            <a:off x="2476500" y="4179094"/>
            <a:ext cx="10465593" cy="3506491"/>
            <a:chOff x="2262295" y="1094859"/>
            <a:chExt cx="4833938" cy="3012798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4D1805BE-B761-F153-40EB-E462BDEB41F5}"/>
                </a:ext>
              </a:extLst>
            </xdr:cNvPr>
            <xdr:cNvSpPr/>
          </xdr:nvSpPr>
          <xdr:spPr>
            <a:xfrm>
              <a:off x="2262295" y="1094859"/>
              <a:ext cx="4833938" cy="2833687"/>
            </a:xfrm>
            <a:prstGeom prst="roundRect">
              <a:avLst>
                <a:gd name="adj" fmla="val 12465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3565277-D200-40CB-8289-7C242D212E2F}"/>
                </a:ext>
              </a:extLst>
            </xdr:cNvPr>
            <xdr:cNvGraphicFramePr>
              <a:graphicFrameLocks/>
            </xdr:cNvGraphicFramePr>
          </xdr:nvGraphicFramePr>
          <xdr:xfrm>
            <a:off x="2464595" y="1476375"/>
            <a:ext cx="4191000" cy="26312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C82757CF-624E-0E1F-8C05-8C16E7F4BA24}"/>
              </a:ext>
            </a:extLst>
          </xdr:cNvPr>
          <xdr:cNvSpPr/>
        </xdr:nvSpPr>
        <xdr:spPr>
          <a:xfrm>
            <a:off x="2488406" y="4167188"/>
            <a:ext cx="10465593" cy="45243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6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583407</xdr:colOff>
      <xdr:row>0</xdr:row>
      <xdr:rowOff>0</xdr:rowOff>
    </xdr:from>
    <xdr:to>
      <xdr:col>0</xdr:col>
      <xdr:colOff>1278732</xdr:colOff>
      <xdr:row>1</xdr:row>
      <xdr:rowOff>373856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948DFB28-79BF-4307-A3BB-3ED513178B45}"/>
            </a:ext>
          </a:extLst>
        </xdr:cNvPr>
        <xdr:cNvSpPr/>
      </xdr:nvSpPr>
      <xdr:spPr>
        <a:xfrm>
          <a:off x="583407" y="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261937</xdr:colOff>
      <xdr:row>2</xdr:row>
      <xdr:rowOff>71437</xdr:rowOff>
    </xdr:from>
    <xdr:to>
      <xdr:col>0</xdr:col>
      <xdr:colOff>1833562</xdr:colOff>
      <xdr:row>2</xdr:row>
      <xdr:rowOff>381000</xdr:rowOff>
    </xdr:to>
    <xdr:sp macro="" textlink="">
      <xdr:nvSpPr>
        <xdr:cNvPr id="31" name="Retângulo: Cantos Superiores Arredondados 30">
          <a:extLst>
            <a:ext uri="{FF2B5EF4-FFF2-40B4-BE49-F238E27FC236}">
              <a16:creationId xmlns:a16="http://schemas.microsoft.com/office/drawing/2014/main" id="{691330BA-8BDE-D740-83F7-D5995415CD57}"/>
            </a:ext>
          </a:extLst>
        </xdr:cNvPr>
        <xdr:cNvSpPr/>
      </xdr:nvSpPr>
      <xdr:spPr>
        <a:xfrm>
          <a:off x="261937" y="833437"/>
          <a:ext cx="1571625" cy="309563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0">
              <a:latin typeface="Segoe UI" panose="020B0502040204020203" pitchFamily="34" charset="0"/>
              <a:cs typeface="Segoe UI" panose="020B0502040204020203" pitchFamily="34" charset="0"/>
            </a:rPr>
            <a:t>Seja Bem-vinda!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Lima" refreshedDate="46104.682180208336" createdVersion="8" refreshedVersion="8" minRefreshableVersion="3" recordCount="295" xr:uid="{92C8A43E-B5A9-410C-9E7D-D61F3AB158EF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1765745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x v="0"/>
    <x v="0"/>
    <n v="20"/>
    <n v="5"/>
    <n v="60"/>
  </r>
  <r>
    <n v="3232"/>
    <x v="1"/>
    <x v="1"/>
    <x v="1"/>
    <x v="1"/>
    <n v="5"/>
    <x v="1"/>
    <x v="1"/>
    <x v="1"/>
    <x v="1"/>
    <n v="0"/>
    <n v="0"/>
    <n v="5"/>
  </r>
  <r>
    <n v="3233"/>
    <x v="2"/>
    <x v="2"/>
    <x v="2"/>
    <x v="0"/>
    <n v="10"/>
    <x v="2"/>
    <x v="1"/>
    <x v="1"/>
    <x v="0"/>
    <n v="20"/>
    <n v="10"/>
    <n v="20"/>
  </r>
  <r>
    <n v="3234"/>
    <x v="3"/>
    <x v="0"/>
    <x v="3"/>
    <x v="1"/>
    <n v="15"/>
    <x v="0"/>
    <x v="0"/>
    <x v="0"/>
    <x v="0"/>
    <n v="20"/>
    <n v="3"/>
    <n v="62"/>
  </r>
  <r>
    <n v="3235"/>
    <x v="4"/>
    <x v="1"/>
    <x v="4"/>
    <x v="0"/>
    <n v="5"/>
    <x v="0"/>
    <x v="1"/>
    <x v="1"/>
    <x v="1"/>
    <n v="0"/>
    <n v="1"/>
    <n v="4"/>
  </r>
  <r>
    <n v="3236"/>
    <x v="5"/>
    <x v="2"/>
    <x v="5"/>
    <x v="1"/>
    <n v="10"/>
    <x v="0"/>
    <x v="1"/>
    <x v="1"/>
    <x v="0"/>
    <n v="20"/>
    <n v="2"/>
    <n v="28"/>
  </r>
  <r>
    <n v="3237"/>
    <x v="6"/>
    <x v="0"/>
    <x v="6"/>
    <x v="0"/>
    <n v="15"/>
    <x v="2"/>
    <x v="0"/>
    <x v="0"/>
    <x v="0"/>
    <n v="20"/>
    <n v="10"/>
    <n v="55"/>
  </r>
  <r>
    <n v="3238"/>
    <x v="7"/>
    <x v="1"/>
    <x v="7"/>
    <x v="0"/>
    <n v="5"/>
    <x v="1"/>
    <x v="1"/>
    <x v="1"/>
    <x v="1"/>
    <n v="0"/>
    <n v="0"/>
    <n v="5"/>
  </r>
  <r>
    <n v="3239"/>
    <x v="8"/>
    <x v="0"/>
    <x v="4"/>
    <x v="1"/>
    <n v="15"/>
    <x v="0"/>
    <x v="0"/>
    <x v="0"/>
    <x v="0"/>
    <n v="20"/>
    <n v="5"/>
    <n v="60"/>
  </r>
  <r>
    <n v="3240"/>
    <x v="9"/>
    <x v="2"/>
    <x v="8"/>
    <x v="0"/>
    <n v="10"/>
    <x v="2"/>
    <x v="1"/>
    <x v="1"/>
    <x v="0"/>
    <n v="20"/>
    <n v="15"/>
    <n v="15"/>
  </r>
  <r>
    <n v="3241"/>
    <x v="10"/>
    <x v="1"/>
    <x v="9"/>
    <x v="1"/>
    <n v="5"/>
    <x v="0"/>
    <x v="1"/>
    <x v="1"/>
    <x v="1"/>
    <n v="0"/>
    <n v="1"/>
    <n v="4"/>
  </r>
  <r>
    <n v="3242"/>
    <x v="11"/>
    <x v="0"/>
    <x v="10"/>
    <x v="0"/>
    <n v="15"/>
    <x v="1"/>
    <x v="0"/>
    <x v="0"/>
    <x v="0"/>
    <n v="20"/>
    <n v="20"/>
    <n v="45"/>
  </r>
  <r>
    <n v="3243"/>
    <x v="12"/>
    <x v="2"/>
    <x v="11"/>
    <x v="1"/>
    <n v="10"/>
    <x v="0"/>
    <x v="1"/>
    <x v="1"/>
    <x v="0"/>
    <n v="20"/>
    <n v="10"/>
    <n v="20"/>
  </r>
  <r>
    <n v="3244"/>
    <x v="13"/>
    <x v="1"/>
    <x v="12"/>
    <x v="0"/>
    <n v="5"/>
    <x v="2"/>
    <x v="1"/>
    <x v="1"/>
    <x v="1"/>
    <n v="0"/>
    <n v="0"/>
    <n v="5"/>
  </r>
  <r>
    <n v="3245"/>
    <x v="14"/>
    <x v="0"/>
    <x v="13"/>
    <x v="1"/>
    <n v="15"/>
    <x v="0"/>
    <x v="0"/>
    <x v="0"/>
    <x v="0"/>
    <n v="20"/>
    <n v="8"/>
    <n v="57"/>
  </r>
  <r>
    <n v="3246"/>
    <x v="15"/>
    <x v="2"/>
    <x v="14"/>
    <x v="0"/>
    <n v="10"/>
    <x v="1"/>
    <x v="1"/>
    <x v="1"/>
    <x v="0"/>
    <n v="20"/>
    <n v="12"/>
    <n v="18"/>
  </r>
  <r>
    <n v="3247"/>
    <x v="16"/>
    <x v="1"/>
    <x v="15"/>
    <x v="1"/>
    <n v="5"/>
    <x v="0"/>
    <x v="1"/>
    <x v="1"/>
    <x v="1"/>
    <n v="0"/>
    <n v="2"/>
    <n v="3"/>
  </r>
  <r>
    <n v="3248"/>
    <x v="17"/>
    <x v="0"/>
    <x v="16"/>
    <x v="0"/>
    <n v="15"/>
    <x v="2"/>
    <x v="0"/>
    <x v="0"/>
    <x v="0"/>
    <n v="20"/>
    <n v="7"/>
    <n v="58"/>
  </r>
  <r>
    <n v="3249"/>
    <x v="18"/>
    <x v="2"/>
    <x v="17"/>
    <x v="1"/>
    <n v="10"/>
    <x v="0"/>
    <x v="1"/>
    <x v="1"/>
    <x v="0"/>
    <n v="20"/>
    <n v="5"/>
    <n v="25"/>
  </r>
  <r>
    <n v="3250"/>
    <x v="19"/>
    <x v="1"/>
    <x v="18"/>
    <x v="0"/>
    <n v="5"/>
    <x v="1"/>
    <x v="1"/>
    <x v="1"/>
    <x v="1"/>
    <n v="0"/>
    <n v="0"/>
    <n v="5"/>
  </r>
  <r>
    <n v="3251"/>
    <x v="20"/>
    <x v="0"/>
    <x v="19"/>
    <x v="1"/>
    <n v="15"/>
    <x v="0"/>
    <x v="0"/>
    <x v="0"/>
    <x v="0"/>
    <n v="20"/>
    <n v="3"/>
    <n v="62"/>
  </r>
  <r>
    <n v="3252"/>
    <x v="21"/>
    <x v="2"/>
    <x v="20"/>
    <x v="0"/>
    <n v="10"/>
    <x v="2"/>
    <x v="1"/>
    <x v="1"/>
    <x v="0"/>
    <n v="20"/>
    <n v="15"/>
    <n v="15"/>
  </r>
  <r>
    <n v="3253"/>
    <x v="22"/>
    <x v="1"/>
    <x v="21"/>
    <x v="1"/>
    <n v="5"/>
    <x v="0"/>
    <x v="1"/>
    <x v="1"/>
    <x v="1"/>
    <n v="0"/>
    <n v="1"/>
    <n v="4"/>
  </r>
  <r>
    <n v="3254"/>
    <x v="23"/>
    <x v="0"/>
    <x v="22"/>
    <x v="0"/>
    <n v="15"/>
    <x v="1"/>
    <x v="0"/>
    <x v="0"/>
    <x v="0"/>
    <n v="20"/>
    <n v="20"/>
    <n v="45"/>
  </r>
  <r>
    <n v="3255"/>
    <x v="24"/>
    <x v="2"/>
    <x v="23"/>
    <x v="1"/>
    <n v="10"/>
    <x v="0"/>
    <x v="1"/>
    <x v="1"/>
    <x v="0"/>
    <n v="20"/>
    <n v="10"/>
    <n v="20"/>
  </r>
  <r>
    <n v="3256"/>
    <x v="25"/>
    <x v="1"/>
    <x v="24"/>
    <x v="0"/>
    <n v="5"/>
    <x v="2"/>
    <x v="1"/>
    <x v="1"/>
    <x v="1"/>
    <n v="0"/>
    <n v="0"/>
    <n v="5"/>
  </r>
  <r>
    <n v="3257"/>
    <x v="26"/>
    <x v="0"/>
    <x v="25"/>
    <x v="1"/>
    <n v="15"/>
    <x v="0"/>
    <x v="0"/>
    <x v="0"/>
    <x v="0"/>
    <n v="20"/>
    <n v="5"/>
    <n v="60"/>
  </r>
  <r>
    <n v="3258"/>
    <x v="27"/>
    <x v="2"/>
    <x v="26"/>
    <x v="0"/>
    <n v="10"/>
    <x v="1"/>
    <x v="1"/>
    <x v="1"/>
    <x v="0"/>
    <n v="20"/>
    <n v="15"/>
    <n v="15"/>
  </r>
  <r>
    <n v="3259"/>
    <x v="28"/>
    <x v="1"/>
    <x v="27"/>
    <x v="1"/>
    <n v="5"/>
    <x v="0"/>
    <x v="1"/>
    <x v="1"/>
    <x v="1"/>
    <n v="0"/>
    <n v="1"/>
    <n v="4"/>
  </r>
  <r>
    <n v="3260"/>
    <x v="29"/>
    <x v="0"/>
    <x v="28"/>
    <x v="0"/>
    <n v="15"/>
    <x v="2"/>
    <x v="0"/>
    <x v="0"/>
    <x v="0"/>
    <n v="20"/>
    <n v="7"/>
    <n v="58"/>
  </r>
  <r>
    <n v="3261"/>
    <x v="30"/>
    <x v="2"/>
    <x v="29"/>
    <x v="1"/>
    <n v="10"/>
    <x v="0"/>
    <x v="1"/>
    <x v="1"/>
    <x v="0"/>
    <n v="20"/>
    <n v="10"/>
    <n v="20"/>
  </r>
  <r>
    <n v="3262"/>
    <x v="31"/>
    <x v="1"/>
    <x v="30"/>
    <x v="0"/>
    <n v="5"/>
    <x v="1"/>
    <x v="1"/>
    <x v="1"/>
    <x v="1"/>
    <n v="0"/>
    <n v="0"/>
    <n v="5"/>
  </r>
  <r>
    <n v="3263"/>
    <x v="32"/>
    <x v="0"/>
    <x v="31"/>
    <x v="1"/>
    <n v="15"/>
    <x v="0"/>
    <x v="0"/>
    <x v="0"/>
    <x v="0"/>
    <n v="20"/>
    <n v="3"/>
    <n v="62"/>
  </r>
  <r>
    <n v="3264"/>
    <x v="33"/>
    <x v="2"/>
    <x v="32"/>
    <x v="0"/>
    <n v="10"/>
    <x v="2"/>
    <x v="1"/>
    <x v="1"/>
    <x v="0"/>
    <n v="20"/>
    <n v="15"/>
    <n v="15"/>
  </r>
  <r>
    <n v="3265"/>
    <x v="34"/>
    <x v="1"/>
    <x v="33"/>
    <x v="1"/>
    <n v="5"/>
    <x v="0"/>
    <x v="1"/>
    <x v="1"/>
    <x v="1"/>
    <n v="0"/>
    <n v="1"/>
    <n v="4"/>
  </r>
  <r>
    <n v="3266"/>
    <x v="35"/>
    <x v="1"/>
    <x v="34"/>
    <x v="0"/>
    <n v="5"/>
    <x v="0"/>
    <x v="1"/>
    <x v="1"/>
    <x v="1"/>
    <n v="0"/>
    <n v="0"/>
    <n v="5"/>
  </r>
  <r>
    <n v="3267"/>
    <x v="36"/>
    <x v="0"/>
    <x v="35"/>
    <x v="1"/>
    <n v="15"/>
    <x v="2"/>
    <x v="0"/>
    <x v="0"/>
    <x v="0"/>
    <n v="20"/>
    <n v="7"/>
    <n v="58"/>
  </r>
  <r>
    <n v="3268"/>
    <x v="37"/>
    <x v="2"/>
    <x v="36"/>
    <x v="0"/>
    <n v="10"/>
    <x v="1"/>
    <x v="1"/>
    <x v="1"/>
    <x v="0"/>
    <n v="20"/>
    <n v="10"/>
    <n v="20"/>
  </r>
  <r>
    <n v="3269"/>
    <x v="38"/>
    <x v="1"/>
    <x v="37"/>
    <x v="1"/>
    <n v="5"/>
    <x v="2"/>
    <x v="1"/>
    <x v="1"/>
    <x v="1"/>
    <n v="0"/>
    <n v="1"/>
    <n v="4"/>
  </r>
  <r>
    <n v="3270"/>
    <x v="39"/>
    <x v="0"/>
    <x v="38"/>
    <x v="0"/>
    <n v="15"/>
    <x v="0"/>
    <x v="0"/>
    <x v="0"/>
    <x v="0"/>
    <n v="20"/>
    <n v="15"/>
    <n v="50"/>
  </r>
  <r>
    <n v="3271"/>
    <x v="40"/>
    <x v="2"/>
    <x v="39"/>
    <x v="1"/>
    <n v="10"/>
    <x v="0"/>
    <x v="1"/>
    <x v="1"/>
    <x v="0"/>
    <n v="20"/>
    <n v="5"/>
    <n v="25"/>
  </r>
  <r>
    <n v="3272"/>
    <x v="41"/>
    <x v="1"/>
    <x v="40"/>
    <x v="0"/>
    <n v="5"/>
    <x v="1"/>
    <x v="1"/>
    <x v="1"/>
    <x v="1"/>
    <n v="0"/>
    <n v="0"/>
    <n v="5"/>
  </r>
  <r>
    <n v="3273"/>
    <x v="42"/>
    <x v="0"/>
    <x v="41"/>
    <x v="1"/>
    <n v="15"/>
    <x v="2"/>
    <x v="0"/>
    <x v="0"/>
    <x v="0"/>
    <n v="20"/>
    <n v="20"/>
    <n v="45"/>
  </r>
  <r>
    <n v="3274"/>
    <x v="43"/>
    <x v="2"/>
    <x v="42"/>
    <x v="0"/>
    <n v="10"/>
    <x v="2"/>
    <x v="1"/>
    <x v="1"/>
    <x v="0"/>
    <n v="20"/>
    <n v="12"/>
    <n v="18"/>
  </r>
  <r>
    <n v="3275"/>
    <x v="44"/>
    <x v="1"/>
    <x v="43"/>
    <x v="1"/>
    <n v="5"/>
    <x v="0"/>
    <x v="1"/>
    <x v="1"/>
    <x v="1"/>
    <n v="0"/>
    <n v="2"/>
    <n v="3"/>
  </r>
  <r>
    <n v="3276"/>
    <x v="45"/>
    <x v="0"/>
    <x v="44"/>
    <x v="0"/>
    <n v="15"/>
    <x v="1"/>
    <x v="0"/>
    <x v="0"/>
    <x v="0"/>
    <n v="20"/>
    <n v="5"/>
    <n v="60"/>
  </r>
  <r>
    <n v="3277"/>
    <x v="46"/>
    <x v="2"/>
    <x v="45"/>
    <x v="1"/>
    <n v="10"/>
    <x v="0"/>
    <x v="1"/>
    <x v="1"/>
    <x v="0"/>
    <n v="20"/>
    <n v="10"/>
    <n v="20"/>
  </r>
  <r>
    <n v="3278"/>
    <x v="47"/>
    <x v="1"/>
    <x v="46"/>
    <x v="0"/>
    <n v="5"/>
    <x v="2"/>
    <x v="1"/>
    <x v="1"/>
    <x v="1"/>
    <n v="0"/>
    <n v="0"/>
    <n v="5"/>
  </r>
  <r>
    <n v="3279"/>
    <x v="48"/>
    <x v="0"/>
    <x v="47"/>
    <x v="1"/>
    <n v="15"/>
    <x v="0"/>
    <x v="0"/>
    <x v="0"/>
    <x v="0"/>
    <n v="20"/>
    <n v="3"/>
    <n v="62"/>
  </r>
  <r>
    <n v="3280"/>
    <x v="49"/>
    <x v="2"/>
    <x v="48"/>
    <x v="0"/>
    <n v="10"/>
    <x v="1"/>
    <x v="1"/>
    <x v="1"/>
    <x v="0"/>
    <n v="20"/>
    <n v="15"/>
    <n v="15"/>
  </r>
  <r>
    <n v="3281"/>
    <x v="50"/>
    <x v="1"/>
    <x v="49"/>
    <x v="1"/>
    <n v="5"/>
    <x v="0"/>
    <x v="1"/>
    <x v="1"/>
    <x v="1"/>
    <n v="0"/>
    <n v="1"/>
    <n v="4"/>
  </r>
  <r>
    <n v="3282"/>
    <x v="51"/>
    <x v="0"/>
    <x v="50"/>
    <x v="0"/>
    <n v="15"/>
    <x v="2"/>
    <x v="0"/>
    <x v="0"/>
    <x v="0"/>
    <n v="20"/>
    <n v="7"/>
    <n v="58"/>
  </r>
  <r>
    <n v="3283"/>
    <x v="52"/>
    <x v="2"/>
    <x v="51"/>
    <x v="1"/>
    <n v="10"/>
    <x v="0"/>
    <x v="1"/>
    <x v="1"/>
    <x v="0"/>
    <n v="20"/>
    <n v="10"/>
    <n v="20"/>
  </r>
  <r>
    <n v="3284"/>
    <x v="53"/>
    <x v="1"/>
    <x v="52"/>
    <x v="0"/>
    <n v="5"/>
    <x v="1"/>
    <x v="1"/>
    <x v="1"/>
    <x v="1"/>
    <n v="0"/>
    <n v="0"/>
    <n v="5"/>
  </r>
  <r>
    <n v="3285"/>
    <x v="54"/>
    <x v="0"/>
    <x v="53"/>
    <x v="1"/>
    <n v="15"/>
    <x v="0"/>
    <x v="0"/>
    <x v="0"/>
    <x v="0"/>
    <n v="20"/>
    <n v="20"/>
    <n v="45"/>
  </r>
  <r>
    <n v="3286"/>
    <x v="55"/>
    <x v="2"/>
    <x v="54"/>
    <x v="0"/>
    <n v="10"/>
    <x v="2"/>
    <x v="1"/>
    <x v="1"/>
    <x v="0"/>
    <n v="20"/>
    <n v="15"/>
    <n v="15"/>
  </r>
  <r>
    <n v="3287"/>
    <x v="56"/>
    <x v="1"/>
    <x v="55"/>
    <x v="1"/>
    <n v="5"/>
    <x v="0"/>
    <x v="1"/>
    <x v="1"/>
    <x v="1"/>
    <n v="0"/>
    <n v="1"/>
    <n v="4"/>
  </r>
  <r>
    <n v="3288"/>
    <x v="57"/>
    <x v="0"/>
    <x v="56"/>
    <x v="0"/>
    <n v="15"/>
    <x v="1"/>
    <x v="0"/>
    <x v="0"/>
    <x v="0"/>
    <n v="20"/>
    <n v="3"/>
    <n v="62"/>
  </r>
  <r>
    <n v="3289"/>
    <x v="58"/>
    <x v="2"/>
    <x v="57"/>
    <x v="1"/>
    <n v="10"/>
    <x v="0"/>
    <x v="1"/>
    <x v="1"/>
    <x v="0"/>
    <n v="20"/>
    <n v="10"/>
    <n v="20"/>
  </r>
  <r>
    <n v="3290"/>
    <x v="59"/>
    <x v="1"/>
    <x v="58"/>
    <x v="0"/>
    <n v="5"/>
    <x v="2"/>
    <x v="1"/>
    <x v="1"/>
    <x v="1"/>
    <n v="0"/>
    <n v="0"/>
    <n v="5"/>
  </r>
  <r>
    <n v="3291"/>
    <x v="60"/>
    <x v="0"/>
    <x v="59"/>
    <x v="1"/>
    <n v="15"/>
    <x v="0"/>
    <x v="0"/>
    <x v="0"/>
    <x v="0"/>
    <n v="20"/>
    <n v="5"/>
    <n v="60"/>
  </r>
  <r>
    <n v="3292"/>
    <x v="61"/>
    <x v="2"/>
    <x v="60"/>
    <x v="0"/>
    <n v="10"/>
    <x v="1"/>
    <x v="1"/>
    <x v="1"/>
    <x v="0"/>
    <n v="20"/>
    <n v="15"/>
    <n v="15"/>
  </r>
  <r>
    <n v="3293"/>
    <x v="62"/>
    <x v="1"/>
    <x v="61"/>
    <x v="1"/>
    <n v="5"/>
    <x v="0"/>
    <x v="1"/>
    <x v="1"/>
    <x v="1"/>
    <n v="0"/>
    <n v="1"/>
    <n v="4"/>
  </r>
  <r>
    <n v="3294"/>
    <x v="63"/>
    <x v="0"/>
    <x v="62"/>
    <x v="0"/>
    <n v="15"/>
    <x v="2"/>
    <x v="0"/>
    <x v="0"/>
    <x v="0"/>
    <n v="20"/>
    <n v="20"/>
    <n v="45"/>
  </r>
  <r>
    <n v="3295"/>
    <x v="64"/>
    <x v="2"/>
    <x v="63"/>
    <x v="1"/>
    <n v="10"/>
    <x v="0"/>
    <x v="1"/>
    <x v="1"/>
    <x v="0"/>
    <n v="20"/>
    <n v="5"/>
    <n v="25"/>
  </r>
  <r>
    <n v="3296"/>
    <x v="65"/>
    <x v="1"/>
    <x v="64"/>
    <x v="1"/>
    <n v="5"/>
    <x v="0"/>
    <x v="1"/>
    <x v="1"/>
    <x v="1"/>
    <n v="0"/>
    <n v="0"/>
    <n v="5"/>
  </r>
  <r>
    <n v="3297"/>
    <x v="66"/>
    <x v="0"/>
    <x v="65"/>
    <x v="0"/>
    <n v="15"/>
    <x v="2"/>
    <x v="0"/>
    <x v="0"/>
    <x v="0"/>
    <n v="20"/>
    <n v="7"/>
    <n v="58"/>
  </r>
  <r>
    <n v="3298"/>
    <x v="67"/>
    <x v="2"/>
    <x v="66"/>
    <x v="1"/>
    <n v="10"/>
    <x v="1"/>
    <x v="1"/>
    <x v="1"/>
    <x v="0"/>
    <n v="20"/>
    <n v="10"/>
    <n v="20"/>
  </r>
  <r>
    <n v="3299"/>
    <x v="68"/>
    <x v="1"/>
    <x v="67"/>
    <x v="0"/>
    <n v="5"/>
    <x v="2"/>
    <x v="1"/>
    <x v="1"/>
    <x v="1"/>
    <n v="0"/>
    <n v="1"/>
    <n v="4"/>
  </r>
  <r>
    <n v="3300"/>
    <x v="69"/>
    <x v="0"/>
    <x v="68"/>
    <x v="1"/>
    <n v="15"/>
    <x v="0"/>
    <x v="0"/>
    <x v="0"/>
    <x v="0"/>
    <n v="20"/>
    <n v="15"/>
    <n v="50"/>
  </r>
  <r>
    <n v="3301"/>
    <x v="70"/>
    <x v="2"/>
    <x v="69"/>
    <x v="0"/>
    <n v="10"/>
    <x v="0"/>
    <x v="1"/>
    <x v="1"/>
    <x v="0"/>
    <n v="20"/>
    <n v="5"/>
    <n v="25"/>
  </r>
  <r>
    <n v="3302"/>
    <x v="71"/>
    <x v="1"/>
    <x v="70"/>
    <x v="1"/>
    <n v="5"/>
    <x v="1"/>
    <x v="1"/>
    <x v="1"/>
    <x v="1"/>
    <n v="0"/>
    <n v="0"/>
    <n v="5"/>
  </r>
  <r>
    <n v="3303"/>
    <x v="72"/>
    <x v="0"/>
    <x v="71"/>
    <x v="0"/>
    <n v="15"/>
    <x v="2"/>
    <x v="0"/>
    <x v="0"/>
    <x v="0"/>
    <n v="20"/>
    <n v="20"/>
    <n v="45"/>
  </r>
  <r>
    <n v="3304"/>
    <x v="73"/>
    <x v="2"/>
    <x v="72"/>
    <x v="1"/>
    <n v="10"/>
    <x v="2"/>
    <x v="1"/>
    <x v="1"/>
    <x v="0"/>
    <n v="20"/>
    <n v="12"/>
    <n v="18"/>
  </r>
  <r>
    <n v="3305"/>
    <x v="74"/>
    <x v="1"/>
    <x v="73"/>
    <x v="0"/>
    <n v="5"/>
    <x v="0"/>
    <x v="1"/>
    <x v="1"/>
    <x v="1"/>
    <n v="0"/>
    <n v="2"/>
    <n v="3"/>
  </r>
  <r>
    <n v="3306"/>
    <x v="75"/>
    <x v="0"/>
    <x v="74"/>
    <x v="1"/>
    <n v="15"/>
    <x v="1"/>
    <x v="0"/>
    <x v="0"/>
    <x v="0"/>
    <n v="20"/>
    <n v="5"/>
    <n v="60"/>
  </r>
  <r>
    <n v="3307"/>
    <x v="76"/>
    <x v="2"/>
    <x v="75"/>
    <x v="0"/>
    <n v="10"/>
    <x v="0"/>
    <x v="1"/>
    <x v="1"/>
    <x v="0"/>
    <n v="20"/>
    <n v="10"/>
    <n v="20"/>
  </r>
  <r>
    <n v="3308"/>
    <x v="77"/>
    <x v="1"/>
    <x v="76"/>
    <x v="1"/>
    <n v="5"/>
    <x v="2"/>
    <x v="1"/>
    <x v="1"/>
    <x v="1"/>
    <n v="0"/>
    <n v="0"/>
    <n v="5"/>
  </r>
  <r>
    <n v="3309"/>
    <x v="78"/>
    <x v="0"/>
    <x v="77"/>
    <x v="0"/>
    <n v="15"/>
    <x v="0"/>
    <x v="0"/>
    <x v="0"/>
    <x v="0"/>
    <n v="20"/>
    <n v="3"/>
    <n v="62"/>
  </r>
  <r>
    <n v="3310"/>
    <x v="79"/>
    <x v="2"/>
    <x v="78"/>
    <x v="1"/>
    <n v="10"/>
    <x v="1"/>
    <x v="1"/>
    <x v="1"/>
    <x v="0"/>
    <n v="20"/>
    <n v="15"/>
    <n v="15"/>
  </r>
  <r>
    <n v="3311"/>
    <x v="80"/>
    <x v="1"/>
    <x v="79"/>
    <x v="0"/>
    <n v="5"/>
    <x v="0"/>
    <x v="1"/>
    <x v="1"/>
    <x v="1"/>
    <n v="0"/>
    <n v="1"/>
    <n v="4"/>
  </r>
  <r>
    <n v="3312"/>
    <x v="81"/>
    <x v="0"/>
    <x v="80"/>
    <x v="1"/>
    <n v="15"/>
    <x v="2"/>
    <x v="0"/>
    <x v="0"/>
    <x v="0"/>
    <n v="20"/>
    <n v="7"/>
    <n v="58"/>
  </r>
  <r>
    <n v="3313"/>
    <x v="82"/>
    <x v="2"/>
    <x v="81"/>
    <x v="0"/>
    <n v="10"/>
    <x v="0"/>
    <x v="1"/>
    <x v="1"/>
    <x v="0"/>
    <n v="20"/>
    <n v="10"/>
    <n v="20"/>
  </r>
  <r>
    <n v="3314"/>
    <x v="83"/>
    <x v="1"/>
    <x v="82"/>
    <x v="1"/>
    <n v="5"/>
    <x v="1"/>
    <x v="1"/>
    <x v="1"/>
    <x v="1"/>
    <n v="0"/>
    <n v="0"/>
    <n v="5"/>
  </r>
  <r>
    <n v="3315"/>
    <x v="84"/>
    <x v="0"/>
    <x v="83"/>
    <x v="0"/>
    <n v="15"/>
    <x v="0"/>
    <x v="0"/>
    <x v="0"/>
    <x v="0"/>
    <n v="20"/>
    <n v="20"/>
    <n v="45"/>
  </r>
  <r>
    <n v="3316"/>
    <x v="85"/>
    <x v="2"/>
    <x v="84"/>
    <x v="1"/>
    <n v="10"/>
    <x v="2"/>
    <x v="1"/>
    <x v="1"/>
    <x v="0"/>
    <n v="20"/>
    <n v="15"/>
    <n v="15"/>
  </r>
  <r>
    <n v="3317"/>
    <x v="86"/>
    <x v="1"/>
    <x v="85"/>
    <x v="0"/>
    <n v="5"/>
    <x v="0"/>
    <x v="1"/>
    <x v="1"/>
    <x v="1"/>
    <n v="0"/>
    <n v="1"/>
    <n v="4"/>
  </r>
  <r>
    <n v="3318"/>
    <x v="87"/>
    <x v="0"/>
    <x v="86"/>
    <x v="1"/>
    <n v="15"/>
    <x v="1"/>
    <x v="0"/>
    <x v="0"/>
    <x v="0"/>
    <n v="20"/>
    <n v="3"/>
    <n v="62"/>
  </r>
  <r>
    <n v="3319"/>
    <x v="88"/>
    <x v="2"/>
    <x v="87"/>
    <x v="0"/>
    <n v="10"/>
    <x v="0"/>
    <x v="1"/>
    <x v="1"/>
    <x v="0"/>
    <n v="20"/>
    <n v="10"/>
    <n v="20"/>
  </r>
  <r>
    <n v="3320"/>
    <x v="89"/>
    <x v="1"/>
    <x v="88"/>
    <x v="1"/>
    <n v="5"/>
    <x v="2"/>
    <x v="1"/>
    <x v="1"/>
    <x v="1"/>
    <n v="0"/>
    <n v="0"/>
    <n v="5"/>
  </r>
  <r>
    <n v="3321"/>
    <x v="90"/>
    <x v="0"/>
    <x v="89"/>
    <x v="0"/>
    <n v="15"/>
    <x v="0"/>
    <x v="0"/>
    <x v="0"/>
    <x v="0"/>
    <n v="20"/>
    <n v="5"/>
    <n v="60"/>
  </r>
  <r>
    <n v="3322"/>
    <x v="91"/>
    <x v="2"/>
    <x v="90"/>
    <x v="1"/>
    <n v="10"/>
    <x v="1"/>
    <x v="1"/>
    <x v="1"/>
    <x v="0"/>
    <n v="20"/>
    <n v="15"/>
    <n v="15"/>
  </r>
  <r>
    <n v="3323"/>
    <x v="92"/>
    <x v="1"/>
    <x v="91"/>
    <x v="0"/>
    <n v="5"/>
    <x v="0"/>
    <x v="1"/>
    <x v="1"/>
    <x v="1"/>
    <n v="0"/>
    <n v="1"/>
    <n v="4"/>
  </r>
  <r>
    <n v="3324"/>
    <x v="93"/>
    <x v="0"/>
    <x v="92"/>
    <x v="1"/>
    <n v="15"/>
    <x v="2"/>
    <x v="0"/>
    <x v="0"/>
    <x v="0"/>
    <n v="20"/>
    <n v="20"/>
    <n v="45"/>
  </r>
  <r>
    <n v="3325"/>
    <x v="94"/>
    <x v="2"/>
    <x v="93"/>
    <x v="0"/>
    <n v="10"/>
    <x v="2"/>
    <x v="1"/>
    <x v="1"/>
    <x v="0"/>
    <n v="20"/>
    <n v="15"/>
    <n v="15"/>
  </r>
  <r>
    <n v="3326"/>
    <x v="95"/>
    <x v="1"/>
    <x v="94"/>
    <x v="1"/>
    <n v="5"/>
    <x v="1"/>
    <x v="1"/>
    <x v="1"/>
    <x v="1"/>
    <n v="0"/>
    <n v="0"/>
    <n v="5"/>
  </r>
  <r>
    <n v="3327"/>
    <x v="96"/>
    <x v="0"/>
    <x v="95"/>
    <x v="0"/>
    <n v="15"/>
    <x v="0"/>
    <x v="0"/>
    <x v="0"/>
    <x v="0"/>
    <n v="20"/>
    <n v="7"/>
    <n v="58"/>
  </r>
  <r>
    <n v="3328"/>
    <x v="97"/>
    <x v="2"/>
    <x v="96"/>
    <x v="1"/>
    <n v="10"/>
    <x v="1"/>
    <x v="1"/>
    <x v="1"/>
    <x v="0"/>
    <n v="20"/>
    <n v="10"/>
    <n v="20"/>
  </r>
  <r>
    <n v="3329"/>
    <x v="98"/>
    <x v="1"/>
    <x v="97"/>
    <x v="0"/>
    <n v="5"/>
    <x v="2"/>
    <x v="1"/>
    <x v="1"/>
    <x v="1"/>
    <n v="0"/>
    <n v="1"/>
    <n v="4"/>
  </r>
  <r>
    <n v="3330"/>
    <x v="99"/>
    <x v="0"/>
    <x v="98"/>
    <x v="1"/>
    <n v="15"/>
    <x v="0"/>
    <x v="0"/>
    <x v="0"/>
    <x v="0"/>
    <n v="20"/>
    <n v="15"/>
    <n v="50"/>
  </r>
  <r>
    <n v="3331"/>
    <x v="100"/>
    <x v="2"/>
    <x v="99"/>
    <x v="0"/>
    <n v="10"/>
    <x v="0"/>
    <x v="1"/>
    <x v="1"/>
    <x v="0"/>
    <n v="20"/>
    <n v="5"/>
    <n v="25"/>
  </r>
  <r>
    <n v="3332"/>
    <x v="101"/>
    <x v="1"/>
    <x v="100"/>
    <x v="1"/>
    <n v="5"/>
    <x v="1"/>
    <x v="1"/>
    <x v="1"/>
    <x v="1"/>
    <n v="0"/>
    <n v="0"/>
    <n v="5"/>
  </r>
  <r>
    <n v="3333"/>
    <x v="102"/>
    <x v="0"/>
    <x v="101"/>
    <x v="0"/>
    <n v="15"/>
    <x v="2"/>
    <x v="0"/>
    <x v="0"/>
    <x v="0"/>
    <n v="20"/>
    <n v="20"/>
    <n v="45"/>
  </r>
  <r>
    <n v="3334"/>
    <x v="103"/>
    <x v="2"/>
    <x v="102"/>
    <x v="1"/>
    <n v="10"/>
    <x v="2"/>
    <x v="1"/>
    <x v="1"/>
    <x v="0"/>
    <n v="20"/>
    <n v="12"/>
    <n v="18"/>
  </r>
  <r>
    <n v="3335"/>
    <x v="104"/>
    <x v="1"/>
    <x v="103"/>
    <x v="0"/>
    <n v="5"/>
    <x v="0"/>
    <x v="1"/>
    <x v="1"/>
    <x v="1"/>
    <n v="0"/>
    <n v="2"/>
    <n v="3"/>
  </r>
  <r>
    <n v="3336"/>
    <x v="105"/>
    <x v="1"/>
    <x v="104"/>
    <x v="0"/>
    <n v="5"/>
    <x v="0"/>
    <x v="1"/>
    <x v="1"/>
    <x v="1"/>
    <n v="0"/>
    <n v="0"/>
    <n v="5"/>
  </r>
  <r>
    <n v="3337"/>
    <x v="106"/>
    <x v="0"/>
    <x v="105"/>
    <x v="1"/>
    <n v="15"/>
    <x v="2"/>
    <x v="0"/>
    <x v="0"/>
    <x v="0"/>
    <n v="20"/>
    <n v="7"/>
    <n v="58"/>
  </r>
  <r>
    <n v="3338"/>
    <x v="107"/>
    <x v="2"/>
    <x v="106"/>
    <x v="0"/>
    <n v="10"/>
    <x v="1"/>
    <x v="1"/>
    <x v="1"/>
    <x v="0"/>
    <n v="20"/>
    <n v="10"/>
    <n v="20"/>
  </r>
  <r>
    <n v="3339"/>
    <x v="108"/>
    <x v="1"/>
    <x v="107"/>
    <x v="1"/>
    <n v="5"/>
    <x v="2"/>
    <x v="1"/>
    <x v="1"/>
    <x v="1"/>
    <n v="0"/>
    <n v="1"/>
    <n v="4"/>
  </r>
  <r>
    <n v="3340"/>
    <x v="109"/>
    <x v="0"/>
    <x v="108"/>
    <x v="0"/>
    <n v="15"/>
    <x v="0"/>
    <x v="0"/>
    <x v="0"/>
    <x v="0"/>
    <n v="20"/>
    <n v="15"/>
    <n v="50"/>
  </r>
  <r>
    <n v="3341"/>
    <x v="110"/>
    <x v="2"/>
    <x v="109"/>
    <x v="1"/>
    <n v="10"/>
    <x v="0"/>
    <x v="1"/>
    <x v="1"/>
    <x v="0"/>
    <n v="20"/>
    <n v="5"/>
    <n v="25"/>
  </r>
  <r>
    <n v="3342"/>
    <x v="111"/>
    <x v="1"/>
    <x v="110"/>
    <x v="0"/>
    <n v="5"/>
    <x v="1"/>
    <x v="1"/>
    <x v="1"/>
    <x v="1"/>
    <n v="0"/>
    <n v="0"/>
    <n v="5"/>
  </r>
  <r>
    <n v="3343"/>
    <x v="112"/>
    <x v="0"/>
    <x v="111"/>
    <x v="1"/>
    <n v="15"/>
    <x v="2"/>
    <x v="0"/>
    <x v="0"/>
    <x v="0"/>
    <n v="20"/>
    <n v="20"/>
    <n v="45"/>
  </r>
  <r>
    <n v="3344"/>
    <x v="113"/>
    <x v="2"/>
    <x v="112"/>
    <x v="0"/>
    <n v="10"/>
    <x v="2"/>
    <x v="1"/>
    <x v="1"/>
    <x v="0"/>
    <n v="20"/>
    <n v="12"/>
    <n v="18"/>
  </r>
  <r>
    <n v="3345"/>
    <x v="114"/>
    <x v="1"/>
    <x v="113"/>
    <x v="1"/>
    <n v="5"/>
    <x v="0"/>
    <x v="1"/>
    <x v="1"/>
    <x v="1"/>
    <n v="0"/>
    <n v="2"/>
    <n v="3"/>
  </r>
  <r>
    <n v="3346"/>
    <x v="115"/>
    <x v="0"/>
    <x v="114"/>
    <x v="0"/>
    <n v="15"/>
    <x v="1"/>
    <x v="0"/>
    <x v="0"/>
    <x v="0"/>
    <n v="20"/>
    <n v="5"/>
    <n v="60"/>
  </r>
  <r>
    <n v="3347"/>
    <x v="116"/>
    <x v="2"/>
    <x v="115"/>
    <x v="1"/>
    <n v="10"/>
    <x v="0"/>
    <x v="1"/>
    <x v="1"/>
    <x v="0"/>
    <n v="20"/>
    <n v="10"/>
    <n v="20"/>
  </r>
  <r>
    <n v="3348"/>
    <x v="117"/>
    <x v="1"/>
    <x v="116"/>
    <x v="0"/>
    <n v="5"/>
    <x v="2"/>
    <x v="1"/>
    <x v="1"/>
    <x v="1"/>
    <n v="0"/>
    <n v="0"/>
    <n v="5"/>
  </r>
  <r>
    <n v="3349"/>
    <x v="93"/>
    <x v="0"/>
    <x v="117"/>
    <x v="1"/>
    <n v="15"/>
    <x v="0"/>
    <x v="0"/>
    <x v="0"/>
    <x v="0"/>
    <n v="20"/>
    <n v="3"/>
    <n v="62"/>
  </r>
  <r>
    <n v="3350"/>
    <x v="118"/>
    <x v="2"/>
    <x v="118"/>
    <x v="0"/>
    <n v="10"/>
    <x v="1"/>
    <x v="1"/>
    <x v="1"/>
    <x v="0"/>
    <n v="20"/>
    <n v="15"/>
    <n v="15"/>
  </r>
  <r>
    <n v="3351"/>
    <x v="119"/>
    <x v="1"/>
    <x v="119"/>
    <x v="1"/>
    <n v="5"/>
    <x v="0"/>
    <x v="1"/>
    <x v="1"/>
    <x v="1"/>
    <n v="0"/>
    <n v="1"/>
    <n v="4"/>
  </r>
  <r>
    <n v="3352"/>
    <x v="120"/>
    <x v="0"/>
    <x v="120"/>
    <x v="0"/>
    <n v="15"/>
    <x v="2"/>
    <x v="0"/>
    <x v="0"/>
    <x v="0"/>
    <n v="20"/>
    <n v="7"/>
    <n v="58"/>
  </r>
  <r>
    <n v="3353"/>
    <x v="121"/>
    <x v="2"/>
    <x v="121"/>
    <x v="1"/>
    <n v="10"/>
    <x v="0"/>
    <x v="1"/>
    <x v="1"/>
    <x v="0"/>
    <n v="20"/>
    <n v="10"/>
    <n v="20"/>
  </r>
  <r>
    <n v="3354"/>
    <x v="122"/>
    <x v="1"/>
    <x v="122"/>
    <x v="0"/>
    <n v="5"/>
    <x v="1"/>
    <x v="1"/>
    <x v="1"/>
    <x v="1"/>
    <n v="0"/>
    <n v="0"/>
    <n v="5"/>
  </r>
  <r>
    <n v="3355"/>
    <x v="123"/>
    <x v="0"/>
    <x v="123"/>
    <x v="1"/>
    <n v="15"/>
    <x v="0"/>
    <x v="0"/>
    <x v="0"/>
    <x v="0"/>
    <n v="20"/>
    <n v="20"/>
    <n v="45"/>
  </r>
  <r>
    <n v="3356"/>
    <x v="124"/>
    <x v="2"/>
    <x v="124"/>
    <x v="0"/>
    <n v="10"/>
    <x v="2"/>
    <x v="1"/>
    <x v="1"/>
    <x v="0"/>
    <n v="20"/>
    <n v="15"/>
    <n v="15"/>
  </r>
  <r>
    <n v="3357"/>
    <x v="125"/>
    <x v="1"/>
    <x v="125"/>
    <x v="1"/>
    <n v="5"/>
    <x v="0"/>
    <x v="1"/>
    <x v="1"/>
    <x v="1"/>
    <n v="0"/>
    <n v="1"/>
    <n v="4"/>
  </r>
  <r>
    <n v="3358"/>
    <x v="126"/>
    <x v="0"/>
    <x v="126"/>
    <x v="0"/>
    <n v="15"/>
    <x v="1"/>
    <x v="0"/>
    <x v="0"/>
    <x v="0"/>
    <n v="20"/>
    <n v="3"/>
    <n v="62"/>
  </r>
  <r>
    <n v="3359"/>
    <x v="127"/>
    <x v="2"/>
    <x v="127"/>
    <x v="1"/>
    <n v="10"/>
    <x v="0"/>
    <x v="1"/>
    <x v="1"/>
    <x v="0"/>
    <n v="20"/>
    <n v="10"/>
    <n v="20"/>
  </r>
  <r>
    <n v="3360"/>
    <x v="128"/>
    <x v="1"/>
    <x v="128"/>
    <x v="0"/>
    <n v="5"/>
    <x v="2"/>
    <x v="1"/>
    <x v="1"/>
    <x v="1"/>
    <n v="0"/>
    <n v="0"/>
    <n v="5"/>
  </r>
  <r>
    <n v="3361"/>
    <x v="129"/>
    <x v="0"/>
    <x v="129"/>
    <x v="1"/>
    <n v="15"/>
    <x v="0"/>
    <x v="0"/>
    <x v="0"/>
    <x v="0"/>
    <n v="20"/>
    <n v="15"/>
    <n v="50"/>
  </r>
  <r>
    <n v="3362"/>
    <x v="130"/>
    <x v="2"/>
    <x v="130"/>
    <x v="0"/>
    <n v="10"/>
    <x v="1"/>
    <x v="1"/>
    <x v="1"/>
    <x v="0"/>
    <n v="20"/>
    <n v="15"/>
    <n v="15"/>
  </r>
  <r>
    <n v="3363"/>
    <x v="131"/>
    <x v="1"/>
    <x v="131"/>
    <x v="1"/>
    <n v="5"/>
    <x v="0"/>
    <x v="1"/>
    <x v="1"/>
    <x v="1"/>
    <n v="0"/>
    <n v="1"/>
    <n v="4"/>
  </r>
  <r>
    <n v="3364"/>
    <x v="132"/>
    <x v="0"/>
    <x v="132"/>
    <x v="0"/>
    <n v="15"/>
    <x v="2"/>
    <x v="0"/>
    <x v="0"/>
    <x v="0"/>
    <n v="20"/>
    <n v="7"/>
    <n v="58"/>
  </r>
  <r>
    <n v="3365"/>
    <x v="133"/>
    <x v="2"/>
    <x v="133"/>
    <x v="1"/>
    <n v="10"/>
    <x v="0"/>
    <x v="1"/>
    <x v="1"/>
    <x v="0"/>
    <n v="20"/>
    <n v="10"/>
    <n v="20"/>
  </r>
  <r>
    <n v="3366"/>
    <x v="134"/>
    <x v="1"/>
    <x v="134"/>
    <x v="0"/>
    <n v="5"/>
    <x v="0"/>
    <x v="1"/>
    <x v="1"/>
    <x v="1"/>
    <n v="0"/>
    <n v="0"/>
    <n v="5"/>
  </r>
  <r>
    <n v="3367"/>
    <x v="135"/>
    <x v="0"/>
    <x v="135"/>
    <x v="1"/>
    <n v="15"/>
    <x v="2"/>
    <x v="0"/>
    <x v="0"/>
    <x v="0"/>
    <n v="20"/>
    <n v="7"/>
    <n v="58"/>
  </r>
  <r>
    <n v="3368"/>
    <x v="136"/>
    <x v="2"/>
    <x v="136"/>
    <x v="0"/>
    <n v="10"/>
    <x v="1"/>
    <x v="1"/>
    <x v="1"/>
    <x v="0"/>
    <n v="20"/>
    <n v="10"/>
    <n v="20"/>
  </r>
  <r>
    <n v="3369"/>
    <x v="137"/>
    <x v="1"/>
    <x v="137"/>
    <x v="1"/>
    <n v="5"/>
    <x v="2"/>
    <x v="1"/>
    <x v="1"/>
    <x v="1"/>
    <n v="0"/>
    <n v="1"/>
    <n v="4"/>
  </r>
  <r>
    <n v="3370"/>
    <x v="138"/>
    <x v="0"/>
    <x v="138"/>
    <x v="0"/>
    <n v="15"/>
    <x v="0"/>
    <x v="0"/>
    <x v="0"/>
    <x v="0"/>
    <n v="20"/>
    <n v="15"/>
    <n v="50"/>
  </r>
  <r>
    <n v="3371"/>
    <x v="139"/>
    <x v="2"/>
    <x v="139"/>
    <x v="1"/>
    <n v="10"/>
    <x v="0"/>
    <x v="1"/>
    <x v="1"/>
    <x v="0"/>
    <n v="20"/>
    <n v="5"/>
    <n v="25"/>
  </r>
  <r>
    <n v="3372"/>
    <x v="140"/>
    <x v="1"/>
    <x v="140"/>
    <x v="0"/>
    <n v="5"/>
    <x v="1"/>
    <x v="1"/>
    <x v="1"/>
    <x v="1"/>
    <n v="0"/>
    <n v="0"/>
    <n v="5"/>
  </r>
  <r>
    <n v="3373"/>
    <x v="141"/>
    <x v="0"/>
    <x v="141"/>
    <x v="1"/>
    <n v="15"/>
    <x v="2"/>
    <x v="0"/>
    <x v="0"/>
    <x v="0"/>
    <n v="20"/>
    <n v="20"/>
    <n v="45"/>
  </r>
  <r>
    <n v="3374"/>
    <x v="142"/>
    <x v="2"/>
    <x v="142"/>
    <x v="0"/>
    <n v="10"/>
    <x v="2"/>
    <x v="1"/>
    <x v="1"/>
    <x v="0"/>
    <n v="20"/>
    <n v="12"/>
    <n v="18"/>
  </r>
  <r>
    <n v="3375"/>
    <x v="143"/>
    <x v="1"/>
    <x v="143"/>
    <x v="1"/>
    <n v="5"/>
    <x v="0"/>
    <x v="1"/>
    <x v="1"/>
    <x v="1"/>
    <n v="0"/>
    <n v="2"/>
    <n v="3"/>
  </r>
  <r>
    <n v="3376"/>
    <x v="144"/>
    <x v="0"/>
    <x v="144"/>
    <x v="0"/>
    <n v="15"/>
    <x v="1"/>
    <x v="0"/>
    <x v="0"/>
    <x v="0"/>
    <n v="20"/>
    <n v="5"/>
    <n v="60"/>
  </r>
  <r>
    <n v="3377"/>
    <x v="145"/>
    <x v="2"/>
    <x v="145"/>
    <x v="1"/>
    <n v="10"/>
    <x v="0"/>
    <x v="1"/>
    <x v="1"/>
    <x v="0"/>
    <n v="20"/>
    <n v="10"/>
    <n v="20"/>
  </r>
  <r>
    <n v="3378"/>
    <x v="146"/>
    <x v="1"/>
    <x v="146"/>
    <x v="0"/>
    <n v="5"/>
    <x v="2"/>
    <x v="1"/>
    <x v="1"/>
    <x v="1"/>
    <n v="0"/>
    <n v="0"/>
    <n v="5"/>
  </r>
  <r>
    <n v="3379"/>
    <x v="147"/>
    <x v="0"/>
    <x v="147"/>
    <x v="1"/>
    <n v="15"/>
    <x v="0"/>
    <x v="0"/>
    <x v="0"/>
    <x v="0"/>
    <n v="20"/>
    <n v="3"/>
    <n v="62"/>
  </r>
  <r>
    <n v="3380"/>
    <x v="148"/>
    <x v="2"/>
    <x v="148"/>
    <x v="0"/>
    <n v="10"/>
    <x v="1"/>
    <x v="1"/>
    <x v="1"/>
    <x v="0"/>
    <n v="20"/>
    <n v="15"/>
    <n v="15"/>
  </r>
  <r>
    <n v="3381"/>
    <x v="149"/>
    <x v="1"/>
    <x v="149"/>
    <x v="1"/>
    <n v="5"/>
    <x v="0"/>
    <x v="1"/>
    <x v="1"/>
    <x v="1"/>
    <n v="0"/>
    <n v="1"/>
    <n v="4"/>
  </r>
  <r>
    <n v="3382"/>
    <x v="150"/>
    <x v="0"/>
    <x v="150"/>
    <x v="0"/>
    <n v="15"/>
    <x v="2"/>
    <x v="0"/>
    <x v="0"/>
    <x v="0"/>
    <n v="20"/>
    <n v="7"/>
    <n v="58"/>
  </r>
  <r>
    <n v="3383"/>
    <x v="151"/>
    <x v="2"/>
    <x v="151"/>
    <x v="1"/>
    <n v="10"/>
    <x v="0"/>
    <x v="1"/>
    <x v="1"/>
    <x v="0"/>
    <n v="20"/>
    <n v="10"/>
    <n v="20"/>
  </r>
  <r>
    <n v="3384"/>
    <x v="152"/>
    <x v="1"/>
    <x v="152"/>
    <x v="0"/>
    <n v="5"/>
    <x v="1"/>
    <x v="1"/>
    <x v="1"/>
    <x v="1"/>
    <n v="0"/>
    <n v="0"/>
    <n v="5"/>
  </r>
  <r>
    <n v="3385"/>
    <x v="153"/>
    <x v="0"/>
    <x v="153"/>
    <x v="1"/>
    <n v="15"/>
    <x v="0"/>
    <x v="0"/>
    <x v="0"/>
    <x v="0"/>
    <n v="20"/>
    <n v="20"/>
    <n v="45"/>
  </r>
  <r>
    <n v="3386"/>
    <x v="154"/>
    <x v="2"/>
    <x v="154"/>
    <x v="0"/>
    <n v="10"/>
    <x v="2"/>
    <x v="1"/>
    <x v="1"/>
    <x v="0"/>
    <n v="20"/>
    <n v="15"/>
    <n v="15"/>
  </r>
  <r>
    <n v="3387"/>
    <x v="155"/>
    <x v="1"/>
    <x v="155"/>
    <x v="1"/>
    <n v="5"/>
    <x v="0"/>
    <x v="1"/>
    <x v="1"/>
    <x v="1"/>
    <n v="0"/>
    <n v="1"/>
    <n v="4"/>
  </r>
  <r>
    <n v="3388"/>
    <x v="156"/>
    <x v="0"/>
    <x v="156"/>
    <x v="0"/>
    <n v="15"/>
    <x v="1"/>
    <x v="0"/>
    <x v="0"/>
    <x v="0"/>
    <n v="20"/>
    <n v="3"/>
    <n v="62"/>
  </r>
  <r>
    <n v="3389"/>
    <x v="157"/>
    <x v="2"/>
    <x v="157"/>
    <x v="1"/>
    <n v="10"/>
    <x v="0"/>
    <x v="1"/>
    <x v="1"/>
    <x v="0"/>
    <n v="20"/>
    <n v="10"/>
    <n v="20"/>
  </r>
  <r>
    <n v="3390"/>
    <x v="158"/>
    <x v="1"/>
    <x v="158"/>
    <x v="0"/>
    <n v="5"/>
    <x v="2"/>
    <x v="1"/>
    <x v="1"/>
    <x v="1"/>
    <n v="0"/>
    <n v="0"/>
    <n v="5"/>
  </r>
  <r>
    <n v="3391"/>
    <x v="58"/>
    <x v="0"/>
    <x v="159"/>
    <x v="1"/>
    <n v="15"/>
    <x v="0"/>
    <x v="0"/>
    <x v="0"/>
    <x v="0"/>
    <n v="20"/>
    <n v="15"/>
    <n v="50"/>
  </r>
  <r>
    <n v="3392"/>
    <x v="159"/>
    <x v="2"/>
    <x v="160"/>
    <x v="0"/>
    <n v="10"/>
    <x v="1"/>
    <x v="1"/>
    <x v="1"/>
    <x v="0"/>
    <n v="20"/>
    <n v="15"/>
    <n v="15"/>
  </r>
  <r>
    <n v="3393"/>
    <x v="160"/>
    <x v="1"/>
    <x v="161"/>
    <x v="1"/>
    <n v="5"/>
    <x v="0"/>
    <x v="1"/>
    <x v="1"/>
    <x v="1"/>
    <n v="0"/>
    <n v="1"/>
    <n v="4"/>
  </r>
  <r>
    <n v="3394"/>
    <x v="161"/>
    <x v="0"/>
    <x v="162"/>
    <x v="0"/>
    <n v="15"/>
    <x v="2"/>
    <x v="0"/>
    <x v="0"/>
    <x v="0"/>
    <n v="20"/>
    <n v="7"/>
    <n v="58"/>
  </r>
  <r>
    <n v="3395"/>
    <x v="162"/>
    <x v="2"/>
    <x v="163"/>
    <x v="1"/>
    <n v="10"/>
    <x v="0"/>
    <x v="1"/>
    <x v="1"/>
    <x v="0"/>
    <n v="20"/>
    <n v="10"/>
    <n v="20"/>
  </r>
  <r>
    <n v="3396"/>
    <x v="163"/>
    <x v="1"/>
    <x v="164"/>
    <x v="0"/>
    <n v="5"/>
    <x v="1"/>
    <x v="1"/>
    <x v="1"/>
    <x v="1"/>
    <n v="0"/>
    <n v="0"/>
    <n v="5"/>
  </r>
  <r>
    <n v="3397"/>
    <x v="90"/>
    <x v="0"/>
    <x v="165"/>
    <x v="1"/>
    <n v="15"/>
    <x v="0"/>
    <x v="0"/>
    <x v="0"/>
    <x v="0"/>
    <n v="20"/>
    <n v="20"/>
    <n v="45"/>
  </r>
  <r>
    <n v="3398"/>
    <x v="164"/>
    <x v="2"/>
    <x v="166"/>
    <x v="0"/>
    <n v="10"/>
    <x v="2"/>
    <x v="1"/>
    <x v="1"/>
    <x v="0"/>
    <n v="20"/>
    <n v="15"/>
    <n v="15"/>
  </r>
  <r>
    <n v="3399"/>
    <x v="165"/>
    <x v="1"/>
    <x v="167"/>
    <x v="1"/>
    <n v="5"/>
    <x v="0"/>
    <x v="1"/>
    <x v="1"/>
    <x v="1"/>
    <n v="0"/>
    <n v="1"/>
    <n v="4"/>
  </r>
  <r>
    <n v="3400"/>
    <x v="166"/>
    <x v="0"/>
    <x v="168"/>
    <x v="0"/>
    <n v="15"/>
    <x v="1"/>
    <x v="0"/>
    <x v="0"/>
    <x v="0"/>
    <n v="20"/>
    <n v="5"/>
    <n v="60"/>
  </r>
  <r>
    <n v="3401"/>
    <x v="167"/>
    <x v="2"/>
    <x v="169"/>
    <x v="1"/>
    <n v="10"/>
    <x v="0"/>
    <x v="1"/>
    <x v="1"/>
    <x v="0"/>
    <n v="20"/>
    <n v="10"/>
    <n v="20"/>
  </r>
  <r>
    <n v="3402"/>
    <x v="168"/>
    <x v="1"/>
    <x v="170"/>
    <x v="0"/>
    <n v="5"/>
    <x v="2"/>
    <x v="1"/>
    <x v="1"/>
    <x v="1"/>
    <n v="0"/>
    <n v="0"/>
    <n v="5"/>
  </r>
  <r>
    <n v="3403"/>
    <x v="169"/>
    <x v="0"/>
    <x v="171"/>
    <x v="1"/>
    <n v="15"/>
    <x v="0"/>
    <x v="0"/>
    <x v="0"/>
    <x v="0"/>
    <n v="20"/>
    <n v="3"/>
    <n v="62"/>
  </r>
  <r>
    <n v="3404"/>
    <x v="170"/>
    <x v="2"/>
    <x v="172"/>
    <x v="0"/>
    <n v="10"/>
    <x v="1"/>
    <x v="1"/>
    <x v="1"/>
    <x v="0"/>
    <n v="20"/>
    <n v="15"/>
    <n v="15"/>
  </r>
  <r>
    <n v="3405"/>
    <x v="171"/>
    <x v="1"/>
    <x v="173"/>
    <x v="1"/>
    <n v="5"/>
    <x v="0"/>
    <x v="1"/>
    <x v="1"/>
    <x v="1"/>
    <n v="0"/>
    <n v="1"/>
    <n v="4"/>
  </r>
  <r>
    <n v="3406"/>
    <x v="172"/>
    <x v="1"/>
    <x v="174"/>
    <x v="0"/>
    <n v="5"/>
    <x v="0"/>
    <x v="1"/>
    <x v="1"/>
    <x v="1"/>
    <n v="0"/>
    <n v="0"/>
    <n v="5"/>
  </r>
  <r>
    <n v="3407"/>
    <x v="173"/>
    <x v="0"/>
    <x v="175"/>
    <x v="1"/>
    <n v="15"/>
    <x v="2"/>
    <x v="0"/>
    <x v="0"/>
    <x v="0"/>
    <n v="20"/>
    <n v="7"/>
    <n v="58"/>
  </r>
  <r>
    <n v="3408"/>
    <x v="174"/>
    <x v="2"/>
    <x v="176"/>
    <x v="0"/>
    <n v="10"/>
    <x v="1"/>
    <x v="1"/>
    <x v="1"/>
    <x v="0"/>
    <n v="20"/>
    <n v="10"/>
    <n v="20"/>
  </r>
  <r>
    <n v="3409"/>
    <x v="175"/>
    <x v="1"/>
    <x v="177"/>
    <x v="1"/>
    <n v="5"/>
    <x v="2"/>
    <x v="1"/>
    <x v="1"/>
    <x v="1"/>
    <n v="0"/>
    <n v="1"/>
    <n v="4"/>
  </r>
  <r>
    <n v="3410"/>
    <x v="176"/>
    <x v="0"/>
    <x v="178"/>
    <x v="0"/>
    <n v="15"/>
    <x v="0"/>
    <x v="0"/>
    <x v="0"/>
    <x v="0"/>
    <n v="20"/>
    <n v="15"/>
    <n v="50"/>
  </r>
  <r>
    <n v="3411"/>
    <x v="177"/>
    <x v="2"/>
    <x v="179"/>
    <x v="1"/>
    <n v="10"/>
    <x v="0"/>
    <x v="1"/>
    <x v="1"/>
    <x v="0"/>
    <n v="20"/>
    <n v="5"/>
    <n v="25"/>
  </r>
  <r>
    <n v="3412"/>
    <x v="178"/>
    <x v="1"/>
    <x v="180"/>
    <x v="0"/>
    <n v="5"/>
    <x v="1"/>
    <x v="1"/>
    <x v="1"/>
    <x v="1"/>
    <n v="0"/>
    <n v="0"/>
    <n v="5"/>
  </r>
  <r>
    <n v="3413"/>
    <x v="179"/>
    <x v="0"/>
    <x v="181"/>
    <x v="1"/>
    <n v="15"/>
    <x v="2"/>
    <x v="0"/>
    <x v="0"/>
    <x v="0"/>
    <n v="20"/>
    <n v="20"/>
    <n v="45"/>
  </r>
  <r>
    <n v="3414"/>
    <x v="180"/>
    <x v="2"/>
    <x v="182"/>
    <x v="0"/>
    <n v="10"/>
    <x v="2"/>
    <x v="1"/>
    <x v="1"/>
    <x v="0"/>
    <n v="20"/>
    <n v="12"/>
    <n v="18"/>
  </r>
  <r>
    <n v="3415"/>
    <x v="181"/>
    <x v="1"/>
    <x v="183"/>
    <x v="1"/>
    <n v="5"/>
    <x v="0"/>
    <x v="1"/>
    <x v="1"/>
    <x v="1"/>
    <n v="0"/>
    <n v="2"/>
    <n v="3"/>
  </r>
  <r>
    <n v="3416"/>
    <x v="182"/>
    <x v="0"/>
    <x v="184"/>
    <x v="0"/>
    <n v="15"/>
    <x v="1"/>
    <x v="0"/>
    <x v="0"/>
    <x v="0"/>
    <n v="20"/>
    <n v="5"/>
    <n v="60"/>
  </r>
  <r>
    <n v="3417"/>
    <x v="183"/>
    <x v="2"/>
    <x v="185"/>
    <x v="1"/>
    <n v="10"/>
    <x v="0"/>
    <x v="1"/>
    <x v="1"/>
    <x v="0"/>
    <n v="20"/>
    <n v="10"/>
    <n v="20"/>
  </r>
  <r>
    <n v="3418"/>
    <x v="184"/>
    <x v="1"/>
    <x v="186"/>
    <x v="0"/>
    <n v="5"/>
    <x v="2"/>
    <x v="1"/>
    <x v="1"/>
    <x v="1"/>
    <n v="0"/>
    <n v="0"/>
    <n v="5"/>
  </r>
  <r>
    <n v="3419"/>
    <x v="185"/>
    <x v="0"/>
    <x v="187"/>
    <x v="1"/>
    <n v="15"/>
    <x v="0"/>
    <x v="0"/>
    <x v="0"/>
    <x v="0"/>
    <n v="20"/>
    <n v="3"/>
    <n v="62"/>
  </r>
  <r>
    <n v="3420"/>
    <x v="186"/>
    <x v="2"/>
    <x v="188"/>
    <x v="0"/>
    <n v="10"/>
    <x v="1"/>
    <x v="1"/>
    <x v="1"/>
    <x v="0"/>
    <n v="20"/>
    <n v="15"/>
    <n v="15"/>
  </r>
  <r>
    <n v="3421"/>
    <x v="15"/>
    <x v="1"/>
    <x v="189"/>
    <x v="1"/>
    <n v="5"/>
    <x v="0"/>
    <x v="1"/>
    <x v="1"/>
    <x v="1"/>
    <n v="0"/>
    <n v="1"/>
    <n v="4"/>
  </r>
  <r>
    <n v="3422"/>
    <x v="187"/>
    <x v="0"/>
    <x v="190"/>
    <x v="0"/>
    <n v="15"/>
    <x v="2"/>
    <x v="0"/>
    <x v="0"/>
    <x v="0"/>
    <n v="20"/>
    <n v="7"/>
    <n v="58"/>
  </r>
  <r>
    <n v="3423"/>
    <x v="188"/>
    <x v="2"/>
    <x v="191"/>
    <x v="1"/>
    <n v="10"/>
    <x v="0"/>
    <x v="1"/>
    <x v="1"/>
    <x v="0"/>
    <n v="20"/>
    <n v="10"/>
    <n v="20"/>
  </r>
  <r>
    <n v="3424"/>
    <x v="14"/>
    <x v="1"/>
    <x v="192"/>
    <x v="0"/>
    <n v="5"/>
    <x v="1"/>
    <x v="1"/>
    <x v="1"/>
    <x v="1"/>
    <n v="0"/>
    <n v="0"/>
    <n v="5"/>
  </r>
  <r>
    <n v="3425"/>
    <x v="189"/>
    <x v="0"/>
    <x v="193"/>
    <x v="1"/>
    <n v="15"/>
    <x v="0"/>
    <x v="0"/>
    <x v="0"/>
    <x v="0"/>
    <n v="20"/>
    <n v="20"/>
    <n v="45"/>
  </r>
  <r>
    <n v="3426"/>
    <x v="167"/>
    <x v="2"/>
    <x v="194"/>
    <x v="0"/>
    <n v="10"/>
    <x v="2"/>
    <x v="1"/>
    <x v="1"/>
    <x v="0"/>
    <n v="20"/>
    <n v="15"/>
    <n v="15"/>
  </r>
  <r>
    <n v="3427"/>
    <x v="190"/>
    <x v="1"/>
    <x v="195"/>
    <x v="1"/>
    <n v="5"/>
    <x v="0"/>
    <x v="1"/>
    <x v="1"/>
    <x v="1"/>
    <n v="0"/>
    <n v="1"/>
    <n v="4"/>
  </r>
  <r>
    <n v="3428"/>
    <x v="191"/>
    <x v="0"/>
    <x v="196"/>
    <x v="0"/>
    <n v="15"/>
    <x v="1"/>
    <x v="0"/>
    <x v="0"/>
    <x v="0"/>
    <n v="20"/>
    <n v="3"/>
    <n v="62"/>
  </r>
  <r>
    <n v="3429"/>
    <x v="192"/>
    <x v="2"/>
    <x v="197"/>
    <x v="1"/>
    <n v="10"/>
    <x v="0"/>
    <x v="1"/>
    <x v="1"/>
    <x v="0"/>
    <n v="20"/>
    <n v="10"/>
    <n v="20"/>
  </r>
  <r>
    <n v="3430"/>
    <x v="193"/>
    <x v="1"/>
    <x v="198"/>
    <x v="0"/>
    <n v="5"/>
    <x v="2"/>
    <x v="1"/>
    <x v="1"/>
    <x v="1"/>
    <n v="0"/>
    <n v="0"/>
    <n v="5"/>
  </r>
  <r>
    <n v="3431"/>
    <x v="194"/>
    <x v="0"/>
    <x v="199"/>
    <x v="1"/>
    <n v="15"/>
    <x v="0"/>
    <x v="0"/>
    <x v="0"/>
    <x v="0"/>
    <n v="20"/>
    <n v="15"/>
    <n v="50"/>
  </r>
  <r>
    <n v="3432"/>
    <x v="195"/>
    <x v="2"/>
    <x v="200"/>
    <x v="0"/>
    <n v="10"/>
    <x v="1"/>
    <x v="1"/>
    <x v="1"/>
    <x v="0"/>
    <n v="20"/>
    <n v="15"/>
    <n v="15"/>
  </r>
  <r>
    <n v="3433"/>
    <x v="196"/>
    <x v="1"/>
    <x v="201"/>
    <x v="1"/>
    <n v="5"/>
    <x v="0"/>
    <x v="1"/>
    <x v="1"/>
    <x v="1"/>
    <n v="0"/>
    <n v="1"/>
    <n v="4"/>
  </r>
  <r>
    <n v="3434"/>
    <x v="197"/>
    <x v="0"/>
    <x v="202"/>
    <x v="0"/>
    <n v="15"/>
    <x v="2"/>
    <x v="0"/>
    <x v="0"/>
    <x v="0"/>
    <n v="20"/>
    <n v="7"/>
    <n v="58"/>
  </r>
  <r>
    <n v="3435"/>
    <x v="198"/>
    <x v="2"/>
    <x v="203"/>
    <x v="1"/>
    <n v="10"/>
    <x v="0"/>
    <x v="1"/>
    <x v="1"/>
    <x v="0"/>
    <n v="20"/>
    <n v="10"/>
    <n v="20"/>
  </r>
  <r>
    <n v="3436"/>
    <x v="199"/>
    <x v="1"/>
    <x v="204"/>
    <x v="0"/>
    <n v="5"/>
    <x v="0"/>
    <x v="1"/>
    <x v="1"/>
    <x v="1"/>
    <n v="0"/>
    <n v="0"/>
    <n v="5"/>
  </r>
  <r>
    <n v="3437"/>
    <x v="200"/>
    <x v="0"/>
    <x v="205"/>
    <x v="1"/>
    <n v="15"/>
    <x v="2"/>
    <x v="0"/>
    <x v="0"/>
    <x v="0"/>
    <n v="20"/>
    <n v="7"/>
    <n v="58"/>
  </r>
  <r>
    <n v="3438"/>
    <x v="201"/>
    <x v="2"/>
    <x v="206"/>
    <x v="0"/>
    <n v="10"/>
    <x v="1"/>
    <x v="1"/>
    <x v="1"/>
    <x v="0"/>
    <n v="20"/>
    <n v="10"/>
    <n v="20"/>
  </r>
  <r>
    <n v="3439"/>
    <x v="202"/>
    <x v="1"/>
    <x v="207"/>
    <x v="1"/>
    <n v="5"/>
    <x v="2"/>
    <x v="1"/>
    <x v="1"/>
    <x v="1"/>
    <n v="0"/>
    <n v="1"/>
    <n v="4"/>
  </r>
  <r>
    <n v="3440"/>
    <x v="203"/>
    <x v="0"/>
    <x v="208"/>
    <x v="0"/>
    <n v="15"/>
    <x v="0"/>
    <x v="0"/>
    <x v="0"/>
    <x v="0"/>
    <n v="20"/>
    <n v="15"/>
    <n v="50"/>
  </r>
  <r>
    <n v="3441"/>
    <x v="204"/>
    <x v="2"/>
    <x v="209"/>
    <x v="1"/>
    <n v="10"/>
    <x v="0"/>
    <x v="1"/>
    <x v="1"/>
    <x v="0"/>
    <n v="20"/>
    <n v="5"/>
    <n v="25"/>
  </r>
  <r>
    <n v="3442"/>
    <x v="205"/>
    <x v="1"/>
    <x v="210"/>
    <x v="0"/>
    <n v="5"/>
    <x v="1"/>
    <x v="1"/>
    <x v="1"/>
    <x v="1"/>
    <n v="0"/>
    <n v="0"/>
    <n v="5"/>
  </r>
  <r>
    <n v="3443"/>
    <x v="206"/>
    <x v="0"/>
    <x v="211"/>
    <x v="1"/>
    <n v="15"/>
    <x v="2"/>
    <x v="0"/>
    <x v="0"/>
    <x v="0"/>
    <n v="20"/>
    <n v="20"/>
    <n v="45"/>
  </r>
  <r>
    <n v="3444"/>
    <x v="207"/>
    <x v="2"/>
    <x v="212"/>
    <x v="0"/>
    <n v="10"/>
    <x v="2"/>
    <x v="1"/>
    <x v="1"/>
    <x v="0"/>
    <n v="20"/>
    <n v="12"/>
    <n v="18"/>
  </r>
  <r>
    <n v="3445"/>
    <x v="37"/>
    <x v="1"/>
    <x v="213"/>
    <x v="1"/>
    <n v="5"/>
    <x v="0"/>
    <x v="1"/>
    <x v="1"/>
    <x v="1"/>
    <n v="0"/>
    <n v="2"/>
    <n v="3"/>
  </r>
  <r>
    <n v="3446"/>
    <x v="208"/>
    <x v="0"/>
    <x v="214"/>
    <x v="0"/>
    <n v="15"/>
    <x v="1"/>
    <x v="0"/>
    <x v="0"/>
    <x v="0"/>
    <n v="20"/>
    <n v="5"/>
    <n v="60"/>
  </r>
  <r>
    <n v="3447"/>
    <x v="209"/>
    <x v="2"/>
    <x v="215"/>
    <x v="1"/>
    <n v="10"/>
    <x v="0"/>
    <x v="1"/>
    <x v="1"/>
    <x v="0"/>
    <n v="20"/>
    <n v="10"/>
    <n v="20"/>
  </r>
  <r>
    <n v="3448"/>
    <x v="210"/>
    <x v="1"/>
    <x v="216"/>
    <x v="0"/>
    <n v="5"/>
    <x v="2"/>
    <x v="1"/>
    <x v="1"/>
    <x v="1"/>
    <n v="0"/>
    <n v="0"/>
    <n v="5"/>
  </r>
  <r>
    <n v="3449"/>
    <x v="211"/>
    <x v="0"/>
    <x v="217"/>
    <x v="1"/>
    <n v="15"/>
    <x v="0"/>
    <x v="0"/>
    <x v="0"/>
    <x v="0"/>
    <n v="20"/>
    <n v="3"/>
    <n v="62"/>
  </r>
  <r>
    <n v="3450"/>
    <x v="212"/>
    <x v="2"/>
    <x v="218"/>
    <x v="0"/>
    <n v="10"/>
    <x v="1"/>
    <x v="1"/>
    <x v="1"/>
    <x v="0"/>
    <n v="20"/>
    <n v="15"/>
    <n v="15"/>
  </r>
  <r>
    <n v="3451"/>
    <x v="213"/>
    <x v="1"/>
    <x v="219"/>
    <x v="1"/>
    <n v="5"/>
    <x v="0"/>
    <x v="1"/>
    <x v="1"/>
    <x v="1"/>
    <n v="0"/>
    <n v="1"/>
    <n v="4"/>
  </r>
  <r>
    <n v="3452"/>
    <x v="191"/>
    <x v="0"/>
    <x v="220"/>
    <x v="0"/>
    <n v="15"/>
    <x v="2"/>
    <x v="0"/>
    <x v="0"/>
    <x v="0"/>
    <n v="20"/>
    <n v="7"/>
    <n v="58"/>
  </r>
  <r>
    <n v="3453"/>
    <x v="45"/>
    <x v="2"/>
    <x v="221"/>
    <x v="1"/>
    <n v="10"/>
    <x v="0"/>
    <x v="1"/>
    <x v="1"/>
    <x v="0"/>
    <n v="20"/>
    <n v="10"/>
    <n v="20"/>
  </r>
  <r>
    <n v="3454"/>
    <x v="214"/>
    <x v="1"/>
    <x v="222"/>
    <x v="0"/>
    <n v="5"/>
    <x v="1"/>
    <x v="1"/>
    <x v="1"/>
    <x v="1"/>
    <n v="0"/>
    <n v="0"/>
    <n v="5"/>
  </r>
  <r>
    <n v="3455"/>
    <x v="215"/>
    <x v="0"/>
    <x v="223"/>
    <x v="1"/>
    <n v="15"/>
    <x v="0"/>
    <x v="0"/>
    <x v="0"/>
    <x v="0"/>
    <n v="20"/>
    <n v="20"/>
    <n v="45"/>
  </r>
  <r>
    <n v="3456"/>
    <x v="216"/>
    <x v="2"/>
    <x v="224"/>
    <x v="0"/>
    <n v="10"/>
    <x v="2"/>
    <x v="1"/>
    <x v="1"/>
    <x v="0"/>
    <n v="20"/>
    <n v="15"/>
    <n v="15"/>
  </r>
  <r>
    <n v="3457"/>
    <x v="217"/>
    <x v="1"/>
    <x v="225"/>
    <x v="1"/>
    <n v="5"/>
    <x v="0"/>
    <x v="1"/>
    <x v="1"/>
    <x v="1"/>
    <n v="0"/>
    <n v="1"/>
    <n v="4"/>
  </r>
  <r>
    <n v="3458"/>
    <x v="218"/>
    <x v="0"/>
    <x v="226"/>
    <x v="0"/>
    <n v="15"/>
    <x v="1"/>
    <x v="0"/>
    <x v="0"/>
    <x v="0"/>
    <n v="20"/>
    <n v="3"/>
    <n v="62"/>
  </r>
  <r>
    <n v="3459"/>
    <x v="219"/>
    <x v="2"/>
    <x v="227"/>
    <x v="1"/>
    <n v="10"/>
    <x v="0"/>
    <x v="1"/>
    <x v="1"/>
    <x v="0"/>
    <n v="20"/>
    <n v="10"/>
    <n v="20"/>
  </r>
  <r>
    <n v="3460"/>
    <x v="127"/>
    <x v="1"/>
    <x v="228"/>
    <x v="0"/>
    <n v="5"/>
    <x v="2"/>
    <x v="1"/>
    <x v="1"/>
    <x v="1"/>
    <n v="0"/>
    <n v="0"/>
    <n v="5"/>
  </r>
  <r>
    <n v="3461"/>
    <x v="220"/>
    <x v="0"/>
    <x v="229"/>
    <x v="1"/>
    <n v="15"/>
    <x v="0"/>
    <x v="0"/>
    <x v="0"/>
    <x v="0"/>
    <n v="20"/>
    <n v="15"/>
    <n v="50"/>
  </r>
  <r>
    <n v="3462"/>
    <x v="221"/>
    <x v="2"/>
    <x v="230"/>
    <x v="0"/>
    <n v="10"/>
    <x v="1"/>
    <x v="1"/>
    <x v="1"/>
    <x v="0"/>
    <n v="20"/>
    <n v="15"/>
    <n v="15"/>
  </r>
  <r>
    <n v="3463"/>
    <x v="222"/>
    <x v="1"/>
    <x v="231"/>
    <x v="1"/>
    <n v="5"/>
    <x v="0"/>
    <x v="1"/>
    <x v="1"/>
    <x v="1"/>
    <n v="0"/>
    <n v="1"/>
    <n v="4"/>
  </r>
  <r>
    <n v="3464"/>
    <x v="223"/>
    <x v="0"/>
    <x v="232"/>
    <x v="0"/>
    <n v="15"/>
    <x v="2"/>
    <x v="0"/>
    <x v="0"/>
    <x v="0"/>
    <n v="20"/>
    <n v="7"/>
    <n v="58"/>
  </r>
  <r>
    <n v="3465"/>
    <x v="224"/>
    <x v="2"/>
    <x v="233"/>
    <x v="1"/>
    <n v="10"/>
    <x v="0"/>
    <x v="1"/>
    <x v="1"/>
    <x v="0"/>
    <n v="20"/>
    <n v="10"/>
    <n v="20"/>
  </r>
  <r>
    <n v="3466"/>
    <x v="225"/>
    <x v="1"/>
    <x v="234"/>
    <x v="0"/>
    <n v="5"/>
    <x v="1"/>
    <x v="1"/>
    <x v="1"/>
    <x v="1"/>
    <n v="0"/>
    <n v="0"/>
    <n v="5"/>
  </r>
  <r>
    <n v="3467"/>
    <x v="226"/>
    <x v="0"/>
    <x v="235"/>
    <x v="1"/>
    <n v="15"/>
    <x v="0"/>
    <x v="0"/>
    <x v="0"/>
    <x v="0"/>
    <n v="20"/>
    <n v="15"/>
    <n v="50"/>
  </r>
  <r>
    <n v="3468"/>
    <x v="227"/>
    <x v="2"/>
    <x v="236"/>
    <x v="0"/>
    <n v="10"/>
    <x v="2"/>
    <x v="1"/>
    <x v="1"/>
    <x v="0"/>
    <n v="20"/>
    <n v="12"/>
    <n v="18"/>
  </r>
  <r>
    <n v="3469"/>
    <x v="228"/>
    <x v="1"/>
    <x v="237"/>
    <x v="1"/>
    <n v="5"/>
    <x v="0"/>
    <x v="1"/>
    <x v="1"/>
    <x v="1"/>
    <n v="0"/>
    <n v="2"/>
    <n v="3"/>
  </r>
  <r>
    <n v="3470"/>
    <x v="229"/>
    <x v="0"/>
    <x v="238"/>
    <x v="0"/>
    <n v="15"/>
    <x v="1"/>
    <x v="0"/>
    <x v="0"/>
    <x v="0"/>
    <n v="20"/>
    <n v="5"/>
    <n v="60"/>
  </r>
  <r>
    <n v="3471"/>
    <x v="230"/>
    <x v="2"/>
    <x v="239"/>
    <x v="1"/>
    <n v="10"/>
    <x v="0"/>
    <x v="1"/>
    <x v="1"/>
    <x v="0"/>
    <n v="20"/>
    <n v="10"/>
    <n v="20"/>
  </r>
  <r>
    <n v="3472"/>
    <x v="231"/>
    <x v="1"/>
    <x v="240"/>
    <x v="0"/>
    <n v="5"/>
    <x v="2"/>
    <x v="1"/>
    <x v="1"/>
    <x v="1"/>
    <n v="0"/>
    <n v="0"/>
    <n v="5"/>
  </r>
  <r>
    <n v="3473"/>
    <x v="140"/>
    <x v="0"/>
    <x v="241"/>
    <x v="1"/>
    <n v="15"/>
    <x v="0"/>
    <x v="0"/>
    <x v="0"/>
    <x v="0"/>
    <n v="20"/>
    <n v="3"/>
    <n v="62"/>
  </r>
  <r>
    <n v="3474"/>
    <x v="232"/>
    <x v="2"/>
    <x v="242"/>
    <x v="0"/>
    <n v="10"/>
    <x v="1"/>
    <x v="1"/>
    <x v="1"/>
    <x v="0"/>
    <n v="20"/>
    <n v="15"/>
    <n v="15"/>
  </r>
  <r>
    <n v="3475"/>
    <x v="233"/>
    <x v="1"/>
    <x v="243"/>
    <x v="1"/>
    <n v="5"/>
    <x v="0"/>
    <x v="1"/>
    <x v="1"/>
    <x v="1"/>
    <n v="0"/>
    <n v="1"/>
    <n v="4"/>
  </r>
  <r>
    <n v="3476"/>
    <x v="234"/>
    <x v="0"/>
    <x v="244"/>
    <x v="0"/>
    <n v="15"/>
    <x v="2"/>
    <x v="0"/>
    <x v="0"/>
    <x v="0"/>
    <n v="20"/>
    <n v="7"/>
    <n v="58"/>
  </r>
  <r>
    <n v="3477"/>
    <x v="235"/>
    <x v="2"/>
    <x v="245"/>
    <x v="1"/>
    <n v="10"/>
    <x v="0"/>
    <x v="1"/>
    <x v="1"/>
    <x v="0"/>
    <n v="20"/>
    <n v="10"/>
    <n v="20"/>
  </r>
  <r>
    <n v="3478"/>
    <x v="236"/>
    <x v="1"/>
    <x v="246"/>
    <x v="0"/>
    <n v="5"/>
    <x v="1"/>
    <x v="1"/>
    <x v="1"/>
    <x v="1"/>
    <n v="0"/>
    <n v="0"/>
    <n v="5"/>
  </r>
  <r>
    <n v="3479"/>
    <x v="237"/>
    <x v="0"/>
    <x v="247"/>
    <x v="1"/>
    <n v="15"/>
    <x v="0"/>
    <x v="0"/>
    <x v="0"/>
    <x v="0"/>
    <n v="20"/>
    <n v="20"/>
    <n v="45"/>
  </r>
  <r>
    <n v="3480"/>
    <x v="238"/>
    <x v="2"/>
    <x v="248"/>
    <x v="0"/>
    <n v="10"/>
    <x v="2"/>
    <x v="1"/>
    <x v="1"/>
    <x v="0"/>
    <n v="20"/>
    <n v="15"/>
    <n v="15"/>
  </r>
  <r>
    <n v="3481"/>
    <x v="239"/>
    <x v="1"/>
    <x v="249"/>
    <x v="1"/>
    <n v="5"/>
    <x v="0"/>
    <x v="1"/>
    <x v="1"/>
    <x v="1"/>
    <n v="0"/>
    <n v="1"/>
    <n v="4"/>
  </r>
  <r>
    <n v="3482"/>
    <x v="240"/>
    <x v="0"/>
    <x v="250"/>
    <x v="0"/>
    <n v="15"/>
    <x v="1"/>
    <x v="0"/>
    <x v="0"/>
    <x v="0"/>
    <n v="20"/>
    <n v="3"/>
    <n v="62"/>
  </r>
  <r>
    <n v="3483"/>
    <x v="241"/>
    <x v="2"/>
    <x v="251"/>
    <x v="1"/>
    <n v="10"/>
    <x v="0"/>
    <x v="1"/>
    <x v="1"/>
    <x v="0"/>
    <n v="20"/>
    <n v="10"/>
    <n v="20"/>
  </r>
  <r>
    <n v="3484"/>
    <x v="242"/>
    <x v="1"/>
    <x v="252"/>
    <x v="0"/>
    <n v="5"/>
    <x v="2"/>
    <x v="1"/>
    <x v="1"/>
    <x v="1"/>
    <n v="0"/>
    <n v="0"/>
    <n v="5"/>
  </r>
  <r>
    <n v="3485"/>
    <x v="243"/>
    <x v="0"/>
    <x v="253"/>
    <x v="1"/>
    <n v="15"/>
    <x v="0"/>
    <x v="0"/>
    <x v="0"/>
    <x v="0"/>
    <n v="20"/>
    <n v="15"/>
    <n v="50"/>
  </r>
  <r>
    <n v="3486"/>
    <x v="244"/>
    <x v="1"/>
    <x v="254"/>
    <x v="0"/>
    <n v="5"/>
    <x v="0"/>
    <x v="1"/>
    <x v="1"/>
    <x v="1"/>
    <n v="0"/>
    <n v="0"/>
    <n v="5"/>
  </r>
  <r>
    <n v="3487"/>
    <x v="245"/>
    <x v="0"/>
    <x v="255"/>
    <x v="1"/>
    <n v="15"/>
    <x v="2"/>
    <x v="0"/>
    <x v="0"/>
    <x v="0"/>
    <n v="20"/>
    <n v="7"/>
    <n v="58"/>
  </r>
  <r>
    <n v="3488"/>
    <x v="246"/>
    <x v="2"/>
    <x v="256"/>
    <x v="0"/>
    <n v="10"/>
    <x v="1"/>
    <x v="1"/>
    <x v="1"/>
    <x v="0"/>
    <n v="20"/>
    <n v="10"/>
    <n v="20"/>
  </r>
  <r>
    <n v="3489"/>
    <x v="247"/>
    <x v="1"/>
    <x v="257"/>
    <x v="1"/>
    <n v="5"/>
    <x v="2"/>
    <x v="1"/>
    <x v="1"/>
    <x v="1"/>
    <n v="0"/>
    <n v="1"/>
    <n v="4"/>
  </r>
  <r>
    <n v="3490"/>
    <x v="248"/>
    <x v="0"/>
    <x v="258"/>
    <x v="0"/>
    <n v="15"/>
    <x v="0"/>
    <x v="0"/>
    <x v="0"/>
    <x v="0"/>
    <n v="20"/>
    <n v="15"/>
    <n v="50"/>
  </r>
  <r>
    <n v="3491"/>
    <x v="249"/>
    <x v="2"/>
    <x v="259"/>
    <x v="1"/>
    <n v="10"/>
    <x v="0"/>
    <x v="1"/>
    <x v="1"/>
    <x v="0"/>
    <n v="20"/>
    <n v="5"/>
    <n v="25"/>
  </r>
  <r>
    <n v="3492"/>
    <x v="250"/>
    <x v="1"/>
    <x v="260"/>
    <x v="0"/>
    <n v="5"/>
    <x v="1"/>
    <x v="1"/>
    <x v="1"/>
    <x v="1"/>
    <n v="0"/>
    <n v="0"/>
    <n v="5"/>
  </r>
  <r>
    <n v="3493"/>
    <x v="251"/>
    <x v="0"/>
    <x v="261"/>
    <x v="1"/>
    <n v="15"/>
    <x v="2"/>
    <x v="0"/>
    <x v="0"/>
    <x v="0"/>
    <n v="20"/>
    <n v="20"/>
    <n v="45"/>
  </r>
  <r>
    <n v="3494"/>
    <x v="252"/>
    <x v="2"/>
    <x v="262"/>
    <x v="0"/>
    <n v="10"/>
    <x v="2"/>
    <x v="1"/>
    <x v="1"/>
    <x v="0"/>
    <n v="20"/>
    <n v="12"/>
    <n v="18"/>
  </r>
  <r>
    <n v="3495"/>
    <x v="253"/>
    <x v="1"/>
    <x v="263"/>
    <x v="1"/>
    <n v="5"/>
    <x v="0"/>
    <x v="1"/>
    <x v="1"/>
    <x v="1"/>
    <n v="0"/>
    <n v="2"/>
    <n v="3"/>
  </r>
  <r>
    <n v="3496"/>
    <x v="254"/>
    <x v="0"/>
    <x v="264"/>
    <x v="0"/>
    <n v="15"/>
    <x v="1"/>
    <x v="0"/>
    <x v="0"/>
    <x v="0"/>
    <n v="20"/>
    <n v="5"/>
    <n v="60"/>
  </r>
  <r>
    <n v="3497"/>
    <x v="255"/>
    <x v="2"/>
    <x v="265"/>
    <x v="1"/>
    <n v="10"/>
    <x v="0"/>
    <x v="1"/>
    <x v="1"/>
    <x v="0"/>
    <n v="20"/>
    <n v="10"/>
    <n v="20"/>
  </r>
  <r>
    <n v="3498"/>
    <x v="256"/>
    <x v="1"/>
    <x v="266"/>
    <x v="0"/>
    <n v="5"/>
    <x v="2"/>
    <x v="1"/>
    <x v="1"/>
    <x v="1"/>
    <n v="0"/>
    <n v="0"/>
    <n v="5"/>
  </r>
  <r>
    <n v="3499"/>
    <x v="257"/>
    <x v="0"/>
    <x v="267"/>
    <x v="1"/>
    <n v="15"/>
    <x v="0"/>
    <x v="0"/>
    <x v="0"/>
    <x v="0"/>
    <n v="20"/>
    <n v="3"/>
    <n v="62"/>
  </r>
  <r>
    <n v="3500"/>
    <x v="258"/>
    <x v="2"/>
    <x v="268"/>
    <x v="0"/>
    <n v="10"/>
    <x v="1"/>
    <x v="1"/>
    <x v="1"/>
    <x v="0"/>
    <n v="20"/>
    <n v="15"/>
    <n v="15"/>
  </r>
  <r>
    <n v="3501"/>
    <x v="259"/>
    <x v="1"/>
    <x v="269"/>
    <x v="1"/>
    <n v="5"/>
    <x v="0"/>
    <x v="1"/>
    <x v="1"/>
    <x v="1"/>
    <n v="0"/>
    <n v="1"/>
    <n v="4"/>
  </r>
  <r>
    <n v="3502"/>
    <x v="260"/>
    <x v="0"/>
    <x v="270"/>
    <x v="0"/>
    <n v="15"/>
    <x v="2"/>
    <x v="0"/>
    <x v="0"/>
    <x v="0"/>
    <n v="20"/>
    <n v="7"/>
    <n v="58"/>
  </r>
  <r>
    <n v="3503"/>
    <x v="119"/>
    <x v="2"/>
    <x v="271"/>
    <x v="1"/>
    <n v="10"/>
    <x v="0"/>
    <x v="1"/>
    <x v="1"/>
    <x v="0"/>
    <n v="20"/>
    <n v="10"/>
    <n v="20"/>
  </r>
  <r>
    <n v="3504"/>
    <x v="261"/>
    <x v="1"/>
    <x v="272"/>
    <x v="0"/>
    <n v="5"/>
    <x v="1"/>
    <x v="1"/>
    <x v="1"/>
    <x v="1"/>
    <n v="0"/>
    <n v="0"/>
    <n v="5"/>
  </r>
  <r>
    <n v="3505"/>
    <x v="262"/>
    <x v="0"/>
    <x v="273"/>
    <x v="1"/>
    <n v="15"/>
    <x v="0"/>
    <x v="0"/>
    <x v="0"/>
    <x v="0"/>
    <n v="20"/>
    <n v="20"/>
    <n v="45"/>
  </r>
  <r>
    <n v="3506"/>
    <x v="263"/>
    <x v="2"/>
    <x v="274"/>
    <x v="0"/>
    <n v="10"/>
    <x v="2"/>
    <x v="1"/>
    <x v="1"/>
    <x v="0"/>
    <n v="20"/>
    <n v="15"/>
    <n v="15"/>
  </r>
  <r>
    <n v="3507"/>
    <x v="264"/>
    <x v="1"/>
    <x v="275"/>
    <x v="1"/>
    <n v="5"/>
    <x v="0"/>
    <x v="1"/>
    <x v="1"/>
    <x v="1"/>
    <n v="0"/>
    <n v="1"/>
    <n v="4"/>
  </r>
  <r>
    <n v="3508"/>
    <x v="265"/>
    <x v="0"/>
    <x v="276"/>
    <x v="0"/>
    <n v="15"/>
    <x v="1"/>
    <x v="0"/>
    <x v="0"/>
    <x v="0"/>
    <n v="20"/>
    <n v="3"/>
    <n v="62"/>
  </r>
  <r>
    <n v="3509"/>
    <x v="266"/>
    <x v="2"/>
    <x v="277"/>
    <x v="1"/>
    <n v="10"/>
    <x v="0"/>
    <x v="1"/>
    <x v="1"/>
    <x v="0"/>
    <n v="20"/>
    <n v="10"/>
    <n v="20"/>
  </r>
  <r>
    <n v="3510"/>
    <x v="267"/>
    <x v="1"/>
    <x v="278"/>
    <x v="0"/>
    <n v="5"/>
    <x v="2"/>
    <x v="1"/>
    <x v="1"/>
    <x v="1"/>
    <n v="0"/>
    <n v="0"/>
    <n v="5"/>
  </r>
  <r>
    <n v="3511"/>
    <x v="268"/>
    <x v="0"/>
    <x v="279"/>
    <x v="1"/>
    <n v="15"/>
    <x v="0"/>
    <x v="0"/>
    <x v="0"/>
    <x v="0"/>
    <n v="20"/>
    <n v="15"/>
    <n v="50"/>
  </r>
  <r>
    <n v="3512"/>
    <x v="269"/>
    <x v="2"/>
    <x v="280"/>
    <x v="0"/>
    <n v="10"/>
    <x v="1"/>
    <x v="1"/>
    <x v="1"/>
    <x v="0"/>
    <n v="20"/>
    <n v="15"/>
    <n v="15"/>
  </r>
  <r>
    <n v="3513"/>
    <x v="270"/>
    <x v="1"/>
    <x v="281"/>
    <x v="1"/>
    <n v="5"/>
    <x v="0"/>
    <x v="1"/>
    <x v="1"/>
    <x v="1"/>
    <n v="0"/>
    <n v="1"/>
    <n v="4"/>
  </r>
  <r>
    <n v="3514"/>
    <x v="271"/>
    <x v="0"/>
    <x v="282"/>
    <x v="0"/>
    <n v="15"/>
    <x v="2"/>
    <x v="0"/>
    <x v="0"/>
    <x v="0"/>
    <n v="20"/>
    <n v="7"/>
    <n v="58"/>
  </r>
  <r>
    <n v="3515"/>
    <x v="130"/>
    <x v="2"/>
    <x v="283"/>
    <x v="1"/>
    <n v="10"/>
    <x v="0"/>
    <x v="1"/>
    <x v="1"/>
    <x v="0"/>
    <n v="20"/>
    <n v="10"/>
    <n v="20"/>
  </r>
  <r>
    <n v="3516"/>
    <x v="131"/>
    <x v="1"/>
    <x v="284"/>
    <x v="0"/>
    <n v="5"/>
    <x v="1"/>
    <x v="1"/>
    <x v="1"/>
    <x v="1"/>
    <n v="0"/>
    <n v="0"/>
    <n v="5"/>
  </r>
  <r>
    <n v="3517"/>
    <x v="181"/>
    <x v="0"/>
    <x v="285"/>
    <x v="1"/>
    <n v="15"/>
    <x v="0"/>
    <x v="0"/>
    <x v="0"/>
    <x v="0"/>
    <n v="20"/>
    <n v="20"/>
    <n v="45"/>
  </r>
  <r>
    <n v="3518"/>
    <x v="272"/>
    <x v="2"/>
    <x v="286"/>
    <x v="0"/>
    <n v="10"/>
    <x v="2"/>
    <x v="1"/>
    <x v="1"/>
    <x v="0"/>
    <n v="20"/>
    <n v="12"/>
    <n v="18"/>
  </r>
  <r>
    <n v="3519"/>
    <x v="273"/>
    <x v="1"/>
    <x v="287"/>
    <x v="1"/>
    <n v="5"/>
    <x v="0"/>
    <x v="1"/>
    <x v="1"/>
    <x v="1"/>
    <n v="0"/>
    <n v="2"/>
    <n v="3"/>
  </r>
  <r>
    <n v="3520"/>
    <x v="274"/>
    <x v="0"/>
    <x v="288"/>
    <x v="0"/>
    <n v="15"/>
    <x v="1"/>
    <x v="0"/>
    <x v="0"/>
    <x v="0"/>
    <n v="20"/>
    <n v="5"/>
    <n v="60"/>
  </r>
  <r>
    <n v="3521"/>
    <x v="275"/>
    <x v="2"/>
    <x v="289"/>
    <x v="1"/>
    <n v="10"/>
    <x v="0"/>
    <x v="1"/>
    <x v="1"/>
    <x v="0"/>
    <n v="20"/>
    <n v="10"/>
    <n v="20"/>
  </r>
  <r>
    <n v="3522"/>
    <x v="276"/>
    <x v="1"/>
    <x v="290"/>
    <x v="0"/>
    <n v="5"/>
    <x v="2"/>
    <x v="1"/>
    <x v="1"/>
    <x v="1"/>
    <n v="0"/>
    <n v="0"/>
    <n v="5"/>
  </r>
  <r>
    <n v="3523"/>
    <x v="277"/>
    <x v="0"/>
    <x v="291"/>
    <x v="1"/>
    <n v="15"/>
    <x v="0"/>
    <x v="0"/>
    <x v="0"/>
    <x v="0"/>
    <n v="20"/>
    <n v="3"/>
    <n v="62"/>
  </r>
  <r>
    <n v="3524"/>
    <x v="278"/>
    <x v="2"/>
    <x v="292"/>
    <x v="0"/>
    <n v="10"/>
    <x v="1"/>
    <x v="1"/>
    <x v="1"/>
    <x v="0"/>
    <n v="20"/>
    <n v="15"/>
    <n v="15"/>
  </r>
  <r>
    <n v="3525"/>
    <x v="279"/>
    <x v="1"/>
    <x v="293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423C9-8E9E-42DC-82C1-20330611BE21}" name="Tabela dinâ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34:C38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F1045-2EF3-40F9-8CEE-6BE836DAA688}" name=" Tbl_easeasonpass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9:C26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8"/>
  </rowFields>
  <rowItems count="7">
    <i>
      <x/>
    </i>
    <i r="1">
      <x v="1"/>
    </i>
    <i>
      <x v="1"/>
    </i>
    <i r="1">
      <x v="1"/>
    </i>
    <i>
      <x v="2"/>
    </i>
    <i r="1">
      <x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D2484-FED4-4FB7-A990-9FC6C313CE91}" name="Tbl_annual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7:C10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6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D6BCF86-CEAF-403C-A6C3-5461D36637BB}" sourceName="Subscription Type">
  <pivotTables>
    <pivotTable tabId="3" name="Tbl_annual_total"/>
    <pivotTable tabId="3" name=" Tbl_easeasonpass_Total"/>
    <pivotTable tabId="3" name="Tabela dinâmica4"/>
  </pivotTables>
  <data>
    <tabular pivotCacheId="117657459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16AFB544-4763-4169-BF37-A9A944455BC6}" cache="SegmentaçãodeDados_Subscription_Type" caption="Subscription Type" style="SlicerStyleLight6 2 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F24" sqref="F24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1" zoomScale="90" zoomScaleNormal="90" workbookViewId="0">
      <selection activeCell="G25" sqref="G2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39"/>
  <sheetViews>
    <sheetView showGridLines="0" topLeftCell="A25" workbookViewId="0">
      <selection activeCell="E37" sqref="E37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26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x14ac:dyDescent="0.25">
      <c r="B2" t="s">
        <v>317</v>
      </c>
    </row>
    <row r="3" spans="2:3" ht="12.75" customHeight="1" x14ac:dyDescent="0.25">
      <c r="B3" t="s">
        <v>318</v>
      </c>
    </row>
    <row r="5" spans="2:3" x14ac:dyDescent="0.25">
      <c r="B5" s="13" t="s">
        <v>16</v>
      </c>
      <c r="C5" t="s">
        <v>24</v>
      </c>
    </row>
    <row r="7" spans="2:3" x14ac:dyDescent="0.25">
      <c r="B7" s="13" t="s">
        <v>313</v>
      </c>
      <c r="C7" t="s">
        <v>316</v>
      </c>
    </row>
    <row r="8" spans="2:3" x14ac:dyDescent="0.25">
      <c r="B8" s="14" t="s">
        <v>23</v>
      </c>
      <c r="C8" s="16">
        <v>217</v>
      </c>
    </row>
    <row r="9" spans="2:3" x14ac:dyDescent="0.25">
      <c r="B9" s="14" t="s">
        <v>19</v>
      </c>
      <c r="C9" s="16">
        <v>1537</v>
      </c>
    </row>
    <row r="10" spans="2:3" x14ac:dyDescent="0.25">
      <c r="B10" s="14" t="s">
        <v>314</v>
      </c>
      <c r="C10" s="16">
        <v>1754</v>
      </c>
    </row>
    <row r="13" spans="2:3" x14ac:dyDescent="0.25">
      <c r="B13" s="14" t="s">
        <v>320</v>
      </c>
    </row>
    <row r="17" spans="2:5" x14ac:dyDescent="0.25">
      <c r="B17" s="13" t="s">
        <v>16</v>
      </c>
      <c r="C17" t="s">
        <v>24</v>
      </c>
    </row>
    <row r="19" spans="2:5" x14ac:dyDescent="0.25">
      <c r="B19" s="13" t="s">
        <v>313</v>
      </c>
      <c r="C19" t="s">
        <v>321</v>
      </c>
    </row>
    <row r="20" spans="2:5" x14ac:dyDescent="0.25">
      <c r="B20" s="14" t="s">
        <v>22</v>
      </c>
      <c r="C20" s="12">
        <v>0</v>
      </c>
    </row>
    <row r="21" spans="2:5" x14ac:dyDescent="0.25">
      <c r="B21" s="15" t="s">
        <v>311</v>
      </c>
      <c r="C21" s="12">
        <v>0</v>
      </c>
    </row>
    <row r="22" spans="2:5" x14ac:dyDescent="0.25">
      <c r="B22" s="14" t="s">
        <v>26</v>
      </c>
      <c r="C22" s="12">
        <v>0</v>
      </c>
    </row>
    <row r="23" spans="2:5" x14ac:dyDescent="0.25">
      <c r="B23" s="15" t="s">
        <v>311</v>
      </c>
      <c r="C23" s="12">
        <v>0</v>
      </c>
      <c r="E23" s="21">
        <f>GETPIVOTDATA("EA Play Season Pass
Price",$B$19)</f>
        <v>600</v>
      </c>
    </row>
    <row r="24" spans="2:5" x14ac:dyDescent="0.25">
      <c r="B24" s="14" t="s">
        <v>18</v>
      </c>
      <c r="C24" s="12">
        <v>600</v>
      </c>
    </row>
    <row r="25" spans="2:5" x14ac:dyDescent="0.25">
      <c r="B25" s="15">
        <v>30</v>
      </c>
      <c r="C25" s="12">
        <v>600</v>
      </c>
      <c r="D25" t="s">
        <v>322</v>
      </c>
    </row>
    <row r="26" spans="2:5" x14ac:dyDescent="0.25">
      <c r="B26" s="14" t="s">
        <v>314</v>
      </c>
      <c r="C26" s="12">
        <v>600</v>
      </c>
    </row>
    <row r="29" spans="2:5" x14ac:dyDescent="0.25">
      <c r="B29" t="s">
        <v>323</v>
      </c>
    </row>
    <row r="32" spans="2:5" x14ac:dyDescent="0.25">
      <c r="B32" s="13" t="s">
        <v>16</v>
      </c>
      <c r="C32" t="s">
        <v>24</v>
      </c>
    </row>
    <row r="34" spans="2:5" x14ac:dyDescent="0.25">
      <c r="B34" s="13" t="s">
        <v>313</v>
      </c>
      <c r="C34" t="s">
        <v>315</v>
      </c>
    </row>
    <row r="35" spans="2:5" x14ac:dyDescent="0.25">
      <c r="B35" s="14" t="s">
        <v>22</v>
      </c>
      <c r="C35" s="16">
        <v>0</v>
      </c>
    </row>
    <row r="36" spans="2:5" x14ac:dyDescent="0.25">
      <c r="B36" s="14" t="s">
        <v>26</v>
      </c>
      <c r="C36" s="16">
        <v>540</v>
      </c>
    </row>
    <row r="37" spans="2:5" x14ac:dyDescent="0.25">
      <c r="B37" s="14" t="s">
        <v>18</v>
      </c>
      <c r="C37" s="16">
        <v>400</v>
      </c>
      <c r="E37" s="20">
        <f>GETPIVOTDATA("Minecraft Season Pass Price",$B$34)</f>
        <v>940</v>
      </c>
    </row>
    <row r="38" spans="2:5" x14ac:dyDescent="0.25">
      <c r="B38" s="14" t="s">
        <v>314</v>
      </c>
      <c r="C38" s="16">
        <v>940</v>
      </c>
    </row>
    <row r="39" spans="2:5" x14ac:dyDescent="0.25">
      <c r="E39" s="22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R65"/>
  <sheetViews>
    <sheetView showGridLines="0" showRowColHeaders="0" tabSelected="1" zoomScale="80" zoomScaleNormal="80" workbookViewId="0">
      <selection activeCell="C2" sqref="C2"/>
    </sheetView>
  </sheetViews>
  <sheetFormatPr defaultRowHeight="15" x14ac:dyDescent="0.25"/>
  <cols>
    <col min="1" max="1" width="27.85546875" style="17" customWidth="1"/>
    <col min="2" max="2" width="7.85546875" customWidth="1"/>
    <col min="3" max="4" width="9.140625" customWidth="1"/>
    <col min="12" max="12" width="6.5703125" customWidth="1"/>
  </cols>
  <sheetData>
    <row r="1" spans="2:44" ht="25.5" customHeight="1" x14ac:dyDescent="0.25"/>
    <row r="2" spans="2:44" ht="34.5" customHeight="1" thickBot="1" x14ac:dyDescent="0.5">
      <c r="C2" s="23" t="s">
        <v>319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9"/>
      <c r="P2" s="19"/>
      <c r="Q2" s="19"/>
      <c r="R2" s="19"/>
      <c r="S2" s="19"/>
    </row>
    <row r="3" spans="2:44" ht="34.5" customHeight="1" thickTop="1" x14ac:dyDescent="0.25"/>
    <row r="4" spans="2:44" ht="25.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2:44" ht="21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2:44" ht="17.2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spans="2:44" ht="23.2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2:44" ht="18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2:44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pans="2:44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2:44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pans="2:44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2:44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2:44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pans="2:44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pans="2:44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spans="2:44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spans="2:44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2:44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pans="2:4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2:4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pans="2:44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pans="2:44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2:44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2:44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2:44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2:44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pans="2:44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pans="2:44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pans="2:44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pans="2:44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pans="2:44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pans="2:44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2:44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2:44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2:44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pans="2:44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2:44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pans="2:44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pans="2:44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2:44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pans="2:44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2:44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pans="2:44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2:44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spans="2:44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pans="2:44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spans="2:44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2:44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2:44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2:44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2:44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2:44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2:44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2:44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2:44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2:44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2:44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2:44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2:44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2:44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2:44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2:44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2:44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2:44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Ingrid Lima</cp:lastModifiedBy>
  <dcterms:created xsi:type="dcterms:W3CDTF">2024-12-19T13:13:10Z</dcterms:created>
  <dcterms:modified xsi:type="dcterms:W3CDTF">2026-03-24T14:29:34Z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